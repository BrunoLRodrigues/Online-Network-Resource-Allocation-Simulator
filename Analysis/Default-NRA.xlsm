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runo\Desktop\"/>
    </mc:Choice>
  </mc:AlternateContent>
  <xr:revisionPtr revIDLastSave="0" documentId="13_ncr:1_{9C52367E-775D-434B-8192-DA72EDCBF579}" xr6:coauthVersionLast="47" xr6:coauthVersionMax="47" xr10:uidLastSave="{00000000-0000-0000-0000-000000000000}"/>
  <bookViews>
    <workbookView xWindow="-120" yWindow="-120" windowWidth="38640" windowHeight="16440" activeTab="4" xr2:uid="{B149407A-BF6F-4B22-B405-1CADA7760DD0}"/>
  </bookViews>
  <sheets>
    <sheet name="Exact" sheetId="16" r:id="rId1"/>
    <sheet name="Heuristic" sheetId="17" r:id="rId2"/>
    <sheet name="Metaheuristic" sheetId="18" r:id="rId3"/>
    <sheet name="Controle" sheetId="2" r:id="rId4"/>
    <sheet name="Resume Graph" sheetId="3" r:id="rId5"/>
    <sheet name="Resume Graph 10" sheetId="20" r:id="rId6"/>
  </sheets>
  <definedNames>
    <definedName name="_xlnm._FilterDatabase" localSheetId="3" hidden="1">Controle!$M$1:$U$1</definedName>
    <definedName name="DadosExternos_1" localSheetId="0" hidden="1">Exact!$A$1:$V$6</definedName>
    <definedName name="DadosExternos_2" localSheetId="1" hidden="1">Heuristic!$A$1:$S$181</definedName>
    <definedName name="DadosExternos_3" localSheetId="2" hidden="1">Metaheuristic!$A$1:$U$351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59" i="3" l="1"/>
  <c r="U59" i="3"/>
  <c r="T59" i="3"/>
  <c r="S59" i="3"/>
  <c r="R59" i="3"/>
  <c r="Q59" i="3"/>
  <c r="P59" i="3"/>
  <c r="O59" i="3"/>
  <c r="N59" i="3"/>
  <c r="V40" i="3"/>
  <c r="U40" i="3"/>
  <c r="T40" i="3"/>
  <c r="S40" i="3"/>
  <c r="R40" i="3"/>
  <c r="Q40" i="3"/>
  <c r="P40" i="3"/>
  <c r="O40" i="3"/>
  <c r="N40" i="3"/>
  <c r="V21" i="3"/>
  <c r="U21" i="3"/>
  <c r="T21" i="3"/>
  <c r="S21" i="3"/>
  <c r="R21" i="3"/>
  <c r="Q21" i="3"/>
  <c r="P21" i="3"/>
  <c r="O21" i="3"/>
  <c r="N21" i="3"/>
  <c r="K43" i="20"/>
  <c r="K44" i="20"/>
  <c r="K45" i="20"/>
  <c r="K42" i="20"/>
  <c r="L42" i="20"/>
  <c r="L43" i="20"/>
  <c r="L44" i="20"/>
  <c r="L45" i="20"/>
  <c r="M42" i="20"/>
  <c r="M43" i="20"/>
  <c r="M44" i="20"/>
  <c r="M45" i="20"/>
  <c r="V65" i="20"/>
  <c r="U65" i="20"/>
  <c r="T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V60" i="20"/>
  <c r="U60" i="20"/>
  <c r="T60" i="20"/>
  <c r="V59" i="20"/>
  <c r="U59" i="20"/>
  <c r="T59" i="20"/>
  <c r="S59" i="20"/>
  <c r="R59" i="20"/>
  <c r="Q59" i="20"/>
  <c r="P59" i="20"/>
  <c r="O59" i="20"/>
  <c r="N59" i="20"/>
  <c r="V46" i="20"/>
  <c r="U46" i="20"/>
  <c r="T46" i="20"/>
  <c r="V45" i="20"/>
  <c r="U45" i="20"/>
  <c r="T45" i="20"/>
  <c r="S45" i="20"/>
  <c r="R45" i="20"/>
  <c r="Q45" i="20"/>
  <c r="P45" i="20"/>
  <c r="O45" i="20"/>
  <c r="N45" i="20"/>
  <c r="V44" i="20"/>
  <c r="U44" i="20"/>
  <c r="T44" i="20"/>
  <c r="S44" i="20"/>
  <c r="R44" i="20"/>
  <c r="Q44" i="20"/>
  <c r="P44" i="20"/>
  <c r="O44" i="20"/>
  <c r="N44" i="20"/>
  <c r="V43" i="20"/>
  <c r="U43" i="20"/>
  <c r="T43" i="20"/>
  <c r="S43" i="20"/>
  <c r="R43" i="20"/>
  <c r="Q43" i="20"/>
  <c r="P43" i="20"/>
  <c r="O43" i="20"/>
  <c r="N43" i="20"/>
  <c r="V42" i="20"/>
  <c r="U42" i="20"/>
  <c r="T42" i="20"/>
  <c r="S42" i="20"/>
  <c r="R42" i="20"/>
  <c r="Q42" i="20"/>
  <c r="P42" i="20"/>
  <c r="O42" i="20"/>
  <c r="N42" i="20"/>
  <c r="V41" i="20"/>
  <c r="U41" i="20"/>
  <c r="T41" i="20"/>
  <c r="V40" i="20"/>
  <c r="U40" i="20"/>
  <c r="T40" i="20"/>
  <c r="S40" i="20"/>
  <c r="R40" i="20"/>
  <c r="Q40" i="20"/>
  <c r="P40" i="20"/>
  <c r="O40" i="20"/>
  <c r="N40" i="20"/>
  <c r="V27" i="20"/>
  <c r="U27" i="20"/>
  <c r="T27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V22" i="20"/>
  <c r="U22" i="20"/>
  <c r="T22" i="20"/>
  <c r="V21" i="20"/>
  <c r="U21" i="20"/>
  <c r="T21" i="20"/>
  <c r="S21" i="20"/>
  <c r="R21" i="20"/>
  <c r="Q21" i="20"/>
  <c r="P21" i="20"/>
  <c r="O21" i="20"/>
  <c r="N21" i="20"/>
  <c r="V8" i="20"/>
  <c r="U8" i="20"/>
  <c r="T8" i="20"/>
  <c r="V7" i="20"/>
  <c r="U7" i="20"/>
  <c r="T7" i="20"/>
  <c r="S7" i="20"/>
  <c r="R7" i="20"/>
  <c r="Q7" i="20"/>
  <c r="P7" i="20"/>
  <c r="O7" i="20"/>
  <c r="N7" i="20"/>
  <c r="M7" i="20"/>
  <c r="L7" i="20"/>
  <c r="K7" i="20"/>
  <c r="V6" i="20"/>
  <c r="U6" i="20"/>
  <c r="T6" i="20"/>
  <c r="S6" i="20"/>
  <c r="R6" i="20"/>
  <c r="Q6" i="20"/>
  <c r="P6" i="20"/>
  <c r="O6" i="20"/>
  <c r="N6" i="20"/>
  <c r="M6" i="20"/>
  <c r="L6" i="20"/>
  <c r="K6" i="20"/>
  <c r="V5" i="20"/>
  <c r="U5" i="20"/>
  <c r="T5" i="20"/>
  <c r="S5" i="20"/>
  <c r="R5" i="20"/>
  <c r="Q5" i="20"/>
  <c r="P5" i="20"/>
  <c r="O5" i="20"/>
  <c r="N5" i="20"/>
  <c r="M5" i="20"/>
  <c r="L5" i="20"/>
  <c r="K5" i="20"/>
  <c r="V4" i="20"/>
  <c r="U4" i="20"/>
  <c r="T4" i="20"/>
  <c r="S4" i="20"/>
  <c r="R4" i="20"/>
  <c r="Q4" i="20"/>
  <c r="P4" i="20"/>
  <c r="O4" i="20"/>
  <c r="N4" i="20"/>
  <c r="M4" i="20"/>
  <c r="L4" i="20"/>
  <c r="K4" i="20"/>
  <c r="V3" i="20"/>
  <c r="U3" i="20"/>
  <c r="T3" i="20"/>
  <c r="V2" i="20"/>
  <c r="U2" i="20"/>
  <c r="T2" i="20"/>
  <c r="S2" i="20"/>
  <c r="R2" i="20"/>
  <c r="Q2" i="20"/>
  <c r="P2" i="20"/>
  <c r="O2" i="20"/>
  <c r="N2" i="20"/>
  <c r="T61" i="3"/>
  <c r="U61" i="3"/>
  <c r="V61" i="3"/>
  <c r="T62" i="3"/>
  <c r="U62" i="3"/>
  <c r="V62" i="3"/>
  <c r="T63" i="3"/>
  <c r="U63" i="3"/>
  <c r="V63" i="3"/>
  <c r="T64" i="3"/>
  <c r="U64" i="3"/>
  <c r="V64" i="3"/>
  <c r="T65" i="3"/>
  <c r="U65" i="3"/>
  <c r="V65" i="3"/>
  <c r="V60" i="3"/>
  <c r="U60" i="3"/>
  <c r="T60" i="3"/>
  <c r="T42" i="3"/>
  <c r="U42" i="3"/>
  <c r="V42" i="3"/>
  <c r="T43" i="3"/>
  <c r="U43" i="3"/>
  <c r="V43" i="3"/>
  <c r="T44" i="3"/>
  <c r="U44" i="3"/>
  <c r="V44" i="3"/>
  <c r="T45" i="3"/>
  <c r="U45" i="3"/>
  <c r="V45" i="3"/>
  <c r="T46" i="3"/>
  <c r="U46" i="3"/>
  <c r="V46" i="3"/>
  <c r="V41" i="3"/>
  <c r="U41" i="3"/>
  <c r="T41" i="3"/>
  <c r="T23" i="3"/>
  <c r="U23" i="3"/>
  <c r="V23" i="3"/>
  <c r="T24" i="3"/>
  <c r="U24" i="3"/>
  <c r="V24" i="3"/>
  <c r="T25" i="3"/>
  <c r="U25" i="3"/>
  <c r="V25" i="3"/>
  <c r="T26" i="3"/>
  <c r="U26" i="3"/>
  <c r="V26" i="3"/>
  <c r="T27" i="3"/>
  <c r="U27" i="3"/>
  <c r="V27" i="3"/>
  <c r="V22" i="3"/>
  <c r="U22" i="3"/>
  <c r="T22" i="3"/>
  <c r="V2" i="3"/>
  <c r="U2" i="3"/>
  <c r="R2" i="3"/>
  <c r="S2" i="3"/>
  <c r="O2" i="3"/>
  <c r="P2" i="3"/>
  <c r="S64" i="3"/>
  <c r="R64" i="3"/>
  <c r="Q64" i="3"/>
  <c r="P64" i="3"/>
  <c r="O64" i="3"/>
  <c r="N64" i="3"/>
  <c r="M64" i="3"/>
  <c r="L64" i="3"/>
  <c r="K64" i="3"/>
  <c r="S63" i="3"/>
  <c r="R63" i="3"/>
  <c r="Q63" i="3"/>
  <c r="P63" i="3"/>
  <c r="O63" i="3"/>
  <c r="N63" i="3"/>
  <c r="M63" i="3"/>
  <c r="L63" i="3"/>
  <c r="K63" i="3"/>
  <c r="S62" i="3"/>
  <c r="R62" i="3"/>
  <c r="Q62" i="3"/>
  <c r="P62" i="3"/>
  <c r="O62" i="3"/>
  <c r="N62" i="3"/>
  <c r="M62" i="3"/>
  <c r="L62" i="3"/>
  <c r="K62" i="3"/>
  <c r="S61" i="3"/>
  <c r="R61" i="3"/>
  <c r="Q61" i="3"/>
  <c r="P61" i="3"/>
  <c r="O61" i="3"/>
  <c r="N61" i="3"/>
  <c r="M61" i="3"/>
  <c r="L61" i="3"/>
  <c r="K61" i="3"/>
  <c r="S45" i="3"/>
  <c r="R45" i="3"/>
  <c r="Q45" i="3"/>
  <c r="P45" i="3"/>
  <c r="O45" i="3"/>
  <c r="N45" i="3"/>
  <c r="M45" i="3"/>
  <c r="L45" i="3"/>
  <c r="K45" i="3"/>
  <c r="S44" i="3"/>
  <c r="R44" i="3"/>
  <c r="Q44" i="3"/>
  <c r="P44" i="3"/>
  <c r="O44" i="3"/>
  <c r="N44" i="3"/>
  <c r="M44" i="3"/>
  <c r="L44" i="3"/>
  <c r="K44" i="3"/>
  <c r="S43" i="3"/>
  <c r="R43" i="3"/>
  <c r="Q43" i="3"/>
  <c r="P43" i="3"/>
  <c r="O43" i="3"/>
  <c r="N43" i="3"/>
  <c r="M43" i="3"/>
  <c r="L43" i="3"/>
  <c r="K43" i="3"/>
  <c r="S42" i="3"/>
  <c r="R42" i="3"/>
  <c r="Q42" i="3"/>
  <c r="P42" i="3"/>
  <c r="O42" i="3"/>
  <c r="N42" i="3"/>
  <c r="M42" i="3"/>
  <c r="L42" i="3"/>
  <c r="K42" i="3"/>
  <c r="S26" i="3"/>
  <c r="R26" i="3"/>
  <c r="Q26" i="3"/>
  <c r="P26" i="3"/>
  <c r="O26" i="3"/>
  <c r="N26" i="3"/>
  <c r="M26" i="3"/>
  <c r="L26" i="3"/>
  <c r="K26" i="3"/>
  <c r="S25" i="3"/>
  <c r="R25" i="3"/>
  <c r="Q25" i="3"/>
  <c r="P25" i="3"/>
  <c r="O25" i="3"/>
  <c r="N25" i="3"/>
  <c r="M25" i="3"/>
  <c r="L25" i="3"/>
  <c r="K25" i="3"/>
  <c r="S24" i="3"/>
  <c r="R24" i="3"/>
  <c r="Q24" i="3"/>
  <c r="P24" i="3"/>
  <c r="O24" i="3"/>
  <c r="N24" i="3"/>
  <c r="M24" i="3"/>
  <c r="L24" i="3"/>
  <c r="K24" i="3"/>
  <c r="S23" i="3"/>
  <c r="R23" i="3"/>
  <c r="Q23" i="3"/>
  <c r="P23" i="3"/>
  <c r="O23" i="3"/>
  <c r="N23" i="3"/>
  <c r="M23" i="3"/>
  <c r="L23" i="3"/>
  <c r="K23" i="3"/>
  <c r="Q5" i="3"/>
  <c r="R5" i="3"/>
  <c r="S5" i="3"/>
  <c r="Q6" i="3"/>
  <c r="R6" i="3"/>
  <c r="S6" i="3"/>
  <c r="Q7" i="3"/>
  <c r="R7" i="3"/>
  <c r="S7" i="3"/>
  <c r="S4" i="3"/>
  <c r="R4" i="3"/>
  <c r="Q4" i="3"/>
  <c r="N5" i="3"/>
  <c r="O5" i="3"/>
  <c r="P5" i="3"/>
  <c r="N6" i="3"/>
  <c r="O6" i="3"/>
  <c r="P6" i="3"/>
  <c r="N7" i="3"/>
  <c r="O7" i="3"/>
  <c r="P7" i="3"/>
  <c r="P4" i="3"/>
  <c r="O4" i="3"/>
  <c r="N4" i="3"/>
  <c r="T4" i="3"/>
  <c r="U4" i="3"/>
  <c r="V4" i="3"/>
  <c r="T5" i="3"/>
  <c r="U5" i="3"/>
  <c r="V5" i="3"/>
  <c r="T6" i="3"/>
  <c r="U6" i="3"/>
  <c r="V6" i="3"/>
  <c r="T7" i="3"/>
  <c r="U7" i="3"/>
  <c r="V7" i="3"/>
  <c r="T8" i="3"/>
  <c r="U8" i="3"/>
  <c r="V8" i="3"/>
  <c r="V3" i="3"/>
  <c r="U3" i="3"/>
  <c r="T3" i="3"/>
  <c r="M5" i="3"/>
  <c r="M6" i="3"/>
  <c r="M7" i="3"/>
  <c r="M4" i="3"/>
  <c r="L5" i="3"/>
  <c r="L6" i="3"/>
  <c r="L7" i="3"/>
  <c r="L4" i="3"/>
  <c r="K5" i="3"/>
  <c r="K6" i="3"/>
  <c r="K7" i="3"/>
  <c r="K4" i="3"/>
  <c r="N2" i="3" l="1"/>
  <c r="T2" i="3"/>
  <c r="Q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D0E7D0-D04F-4841-847F-0A8A011C62D2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F749586D-D468-44A3-A599-264A9F3794BD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3" xr16:uid="{D212F228-3184-43FD-8FAE-AAC4940934B3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4" xr16:uid="{63B691E8-E016-4D89-B71C-781D24F3FC0E}" keepAlive="1" name="Consulta - Exact" description="Conexão com a consulta 'Exact' na pasta de trabalho." type="5" refreshedVersion="8" background="1" saveData="1">
    <dbPr connection="Provider=Microsoft.Mashup.OleDb.1;Data Source=$Workbook$;Location=Exact;Extended Properties=&quot;&quot;" command="SELECT * FROM [Exact]"/>
  </connection>
  <connection id="5" xr16:uid="{97B0533F-F770-4795-B8D8-206903A16626}" keepAlive="1" name="Consulta - Heuristic" description="Conexão com a consulta 'Heuristic' na pasta de trabalho." type="5" refreshedVersion="8" background="1" saveData="1">
    <dbPr connection="Provider=Microsoft.Mashup.OleDb.1;Data Source=$Workbook$;Location=Heuristic;Extended Properties=&quot;&quot;" command="SELECT * FROM [Heuristic]"/>
  </connection>
  <connection id="6" xr16:uid="{E18A7071-D03B-4FC0-942F-98C454D0EE87}" keepAlive="1" name="Consulta - Metaheuristic" description="Conexão com a consulta 'Metaheuristic' na pasta de trabalho." type="5" refreshedVersion="8" background="1" saveData="1">
    <dbPr connection="Provider=Microsoft.Mashup.OleDb.1;Data Source=$Workbook$;Location=Metaheuristic;Extended Properties=&quot;&quot;" command="SELECT * FROM [Metaheuristic]"/>
  </connection>
  <connection id="7" xr16:uid="{22D2E3A4-75B6-44A5-9581-E29D348B73EB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" xr16:uid="{538AC105-A21C-4AC1-B205-1DAAA6D67D20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9" xr16:uid="{5F29BA3D-2409-45DE-83C3-233A6B9777CB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10" xr16:uid="{311CE376-9040-47B8-8F0A-C8DC8FD56F48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1" xr16:uid="{C21400D2-A043-4BC3-B990-1F1F4314A32D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12" xr16:uid="{53382247-3FFC-4535-9758-005DF7D3DC70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13" xr16:uid="{51EA6B2B-1CEA-48B1-AC1B-D8F770BE2E41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14" xr16:uid="{7CBA25DC-FDA8-43AB-AB1E-85C1CB10B6D2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15" xr16:uid="{D488B8C3-F0E5-4619-9079-78B15DA987C5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</connections>
</file>

<file path=xl/sharedStrings.xml><?xml version="1.0" encoding="utf-8"?>
<sst xmlns="http://schemas.openxmlformats.org/spreadsheetml/2006/main" count="878" uniqueCount="55">
  <si>
    <t>GRA</t>
  </si>
  <si>
    <t>SAG</t>
  </si>
  <si>
    <t>Dispositivos</t>
  </si>
  <si>
    <t>N</t>
  </si>
  <si>
    <t>Nível de Confiança (%)</t>
  </si>
  <si>
    <t>Greedy_DescAsc</t>
  </si>
  <si>
    <t>Métrica de Análise</t>
  </si>
  <si>
    <t>ExeTime</t>
  </si>
  <si>
    <t>MinCost</t>
  </si>
  <si>
    <t>Random</t>
  </si>
  <si>
    <t>SA_Greedy_DescAsc</t>
  </si>
  <si>
    <t>SA_Random</t>
  </si>
  <si>
    <t>Algoritmos</t>
  </si>
  <si>
    <t>=</t>
  </si>
  <si>
    <t>RRA</t>
  </si>
  <si>
    <t>SAR</t>
  </si>
  <si>
    <t>Devices</t>
  </si>
  <si>
    <t>Servers</t>
  </si>
  <si>
    <t>Tech</t>
  </si>
  <si>
    <t>DCovered</t>
  </si>
  <si>
    <t>DServed</t>
  </si>
  <si>
    <t>Atendimento</t>
  </si>
  <si>
    <t>DServedEC</t>
  </si>
  <si>
    <t>DServedCC</t>
  </si>
  <si>
    <t>SUsed</t>
  </si>
  <si>
    <t>SUsedEC</t>
  </si>
  <si>
    <t>SUsedCC</t>
  </si>
  <si>
    <t>TotalCost</t>
  </si>
  <si>
    <t>CostNCoverage</t>
  </si>
  <si>
    <t>CostNService</t>
  </si>
  <si>
    <t>CostS</t>
  </si>
  <si>
    <t>Avg.RTime</t>
  </si>
  <si>
    <t>Status</t>
  </si>
  <si>
    <t>OF</t>
  </si>
  <si>
    <t>GAP</t>
  </si>
  <si>
    <t>Temperature</t>
  </si>
  <si>
    <t>Alpha</t>
  </si>
  <si>
    <t>TAXA DE ATENDIMENTO</t>
  </si>
  <si>
    <t>TEMPO DE EXECUÇÃO</t>
  </si>
  <si>
    <t>CUSTO  TOTAL</t>
  </si>
  <si>
    <t>TEMPO DE RESPOSTA MÉDIO</t>
  </si>
  <si>
    <t>Algorithm</t>
  </si>
  <si>
    <t>TotalSteps</t>
  </si>
  <si>
    <t>Mean</t>
  </si>
  <si>
    <t>SD</t>
  </si>
  <si>
    <t>SEM</t>
  </si>
  <si>
    <t>LCI</t>
  </si>
  <si>
    <t>UCI</t>
  </si>
  <si>
    <t>Unknown</t>
  </si>
  <si>
    <t>10²</t>
  </si>
  <si>
    <t>10³</t>
  </si>
  <si>
    <t>10⁴</t>
  </si>
  <si>
    <t>21052, 62936, 104717</t>
  </si>
  <si>
    <t>TR-Médio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</si>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</sst>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"/>
    <numFmt numFmtId="165" formatCode="0.0000"/>
    <numFmt numFmtId="166" formatCode="0.0000000000"/>
    <numFmt numFmtId="167" formatCode="0.000000000"/>
    <numFmt numFmtId="168" formatCode="0.00000%"/>
    <numFmt numFmtId="169" formatCode="&quot;LCI_&quot;@"/>
    <numFmt numFmtId="170" formatCode="&quot;UCI_&quot;@"/>
    <numFmt numFmtId="171" formatCode="&quot;ILP_&quot;@"/>
    <numFmt numFmtId="172" formatCode="&quot;LCI_&quot;General;&quot;LCI_&quot;\-General;&quot;LCI_&quot;0;&quot;LCI_&quot;@"/>
    <numFmt numFmtId="173" formatCode="&quot;UCI_&quot;General;&quot;UCI_&quot;\-General;&quot;UCI_&quot;0;&quot;UCI_&quot;@"/>
    <numFmt numFmtId="174" formatCode="&quot;ILP_&quot;General;&quot;ILP_&quot;\-General;&quot;ILP_&quot;0;&quot;ILP_&quot;@"/>
  </numFmts>
  <fonts count="11" x14ac:knownFonts="1">
    <font>
      <sz val="10"/>
      <color theme="1"/>
      <name val="Times New Roman"/>
      <family val="2"/>
    </font>
    <font>
      <sz val="10"/>
      <color theme="1"/>
      <name val="Times New Roman"/>
      <family val="2"/>
    </font>
    <font>
      <b/>
      <sz val="20"/>
      <color rgb="FF000000"/>
      <name val="Times New Roman"/>
      <family val="1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u/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3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64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164" fontId="6" fillId="0" borderId="0" xfId="0" applyNumberFormat="1" applyFont="1" applyAlignment="1">
      <alignment vertical="center"/>
    </xf>
    <xf numFmtId="0" fontId="0" fillId="0" borderId="0" xfId="0" applyNumberFormat="1"/>
    <xf numFmtId="0" fontId="7" fillId="0" borderId="0" xfId="0" applyFont="1" applyAlignment="1">
      <alignment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166" fontId="5" fillId="0" borderId="0" xfId="0" applyNumberFormat="1" applyFont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10" fontId="8" fillId="0" borderId="0" xfId="0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165" fontId="8" fillId="0" borderId="11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165" fontId="8" fillId="0" borderId="9" xfId="0" applyNumberFormat="1" applyFont="1" applyBorder="1" applyAlignment="1">
      <alignment horizontal="left" vertical="center"/>
    </xf>
    <xf numFmtId="165" fontId="8" fillId="0" borderId="0" xfId="0" applyNumberFormat="1" applyFont="1" applyBorder="1" applyAlignment="1">
      <alignment horizontal="left" vertical="center"/>
    </xf>
    <xf numFmtId="2" fontId="8" fillId="0" borderId="0" xfId="1" applyNumberFormat="1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2" fontId="8" fillId="0" borderId="11" xfId="1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5" fontId="8" fillId="0" borderId="10" xfId="0" applyNumberFormat="1" applyFont="1" applyBorder="1" applyAlignment="1">
      <alignment horizontal="left" vertical="center"/>
    </xf>
    <xf numFmtId="165" fontId="8" fillId="0" borderId="11" xfId="0" applyNumberFormat="1" applyFont="1" applyBorder="1" applyAlignment="1">
      <alignment horizontal="left" vertical="center"/>
    </xf>
    <xf numFmtId="2" fontId="8" fillId="0" borderId="0" xfId="1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10" fontId="8" fillId="0" borderId="8" xfId="0" applyNumberFormat="1" applyFont="1" applyBorder="1" applyAlignment="1">
      <alignment horizontal="left" vertical="center"/>
    </xf>
    <xf numFmtId="0" fontId="9" fillId="0" borderId="16" xfId="0" applyFont="1" applyBorder="1" applyAlignment="1">
      <alignment horizontal="center" vertical="center"/>
    </xf>
    <xf numFmtId="164" fontId="9" fillId="0" borderId="16" xfId="0" applyNumberFormat="1" applyFont="1" applyBorder="1" applyAlignment="1">
      <alignment horizontal="center" vertical="center"/>
    </xf>
    <xf numFmtId="166" fontId="8" fillId="0" borderId="0" xfId="0" applyNumberFormat="1" applyFont="1" applyAlignment="1">
      <alignment horizontal="left" vertical="center"/>
    </xf>
    <xf numFmtId="166" fontId="8" fillId="0" borderId="0" xfId="0" applyNumberFormat="1" applyFont="1" applyBorder="1" applyAlignment="1">
      <alignment horizontal="left" vertical="center"/>
    </xf>
    <xf numFmtId="168" fontId="8" fillId="0" borderId="0" xfId="1" applyNumberFormat="1" applyFont="1" applyAlignment="1">
      <alignment horizontal="left" vertical="center"/>
    </xf>
    <xf numFmtId="168" fontId="8" fillId="0" borderId="0" xfId="0" applyNumberFormat="1" applyFont="1" applyBorder="1" applyAlignment="1">
      <alignment horizontal="left" vertical="center"/>
    </xf>
    <xf numFmtId="168" fontId="8" fillId="0" borderId="0" xfId="1" applyNumberFormat="1" applyFont="1" applyBorder="1" applyAlignment="1">
      <alignment horizontal="left" vertical="center"/>
    </xf>
    <xf numFmtId="166" fontId="8" fillId="0" borderId="0" xfId="1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center" vertical="center"/>
    </xf>
    <xf numFmtId="169" fontId="8" fillId="0" borderId="14" xfId="0" applyNumberFormat="1" applyFont="1" applyBorder="1" applyAlignment="1">
      <alignment horizontal="center" vertical="center"/>
    </xf>
    <xf numFmtId="170" fontId="8" fillId="0" borderId="14" xfId="0" applyNumberFormat="1" applyFont="1" applyBorder="1" applyAlignment="1">
      <alignment horizontal="center" vertical="center"/>
    </xf>
    <xf numFmtId="171" fontId="8" fillId="0" borderId="14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164" fontId="9" fillId="0" borderId="16" xfId="0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6" fontId="8" fillId="0" borderId="0" xfId="1" applyNumberFormat="1" applyFont="1" applyAlignment="1">
      <alignment horizontal="left" vertical="center"/>
    </xf>
    <xf numFmtId="2" fontId="4" fillId="0" borderId="1" xfId="0" applyNumberFormat="1" applyFont="1" applyBorder="1" applyAlignment="1">
      <alignment horizontal="left" vertical="center"/>
    </xf>
    <xf numFmtId="0" fontId="8" fillId="0" borderId="14" xfId="0" applyFont="1" applyBorder="1" applyAlignment="1">
      <alignment horizontal="center" vertical="center"/>
    </xf>
    <xf numFmtId="172" fontId="8" fillId="0" borderId="14" xfId="0" applyNumberFormat="1" applyFont="1" applyBorder="1" applyAlignment="1">
      <alignment horizontal="center" vertical="center"/>
    </xf>
    <xf numFmtId="173" fontId="8" fillId="0" borderId="14" xfId="0" applyNumberFormat="1" applyFont="1" applyBorder="1" applyAlignment="1">
      <alignment horizontal="center" vertical="center"/>
    </xf>
    <xf numFmtId="174" fontId="8" fillId="0" borderId="14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Relationship Id="rId4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Relationship Id="rId4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17654320987655"/>
          <c:y val="2.4608024691358026E-2"/>
          <c:w val="0.71060000000000001"/>
          <c:h val="0.78402388888888885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'Resume Graph'!$K$2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rgbClr val="156082"/>
            </a:solidFill>
            <a:ln w="3175">
              <a:noFill/>
            </a:ln>
            <a:effectLst>
              <a:glow>
                <a:schemeClr val="accent1"/>
              </a:glow>
            </a:effectLst>
          </c:spPr>
          <c:invertIfNegative val="0"/>
          <c:errBars>
            <c:errBarType val="both"/>
            <c:errValType val="cust"/>
            <c:noEndCap val="0"/>
            <c:plus>
              <c:numRef>
                <c:f>'Resume Graph'!$Q$3:$Q$8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9.8831366004564769E-4</c:v>
                  </c:pt>
                  <c:pt idx="3">
                    <c:v>1.0247828412517368E-3</c:v>
                  </c:pt>
                  <c:pt idx="4">
                    <c:v>9.2048615192807937E-4</c:v>
                  </c:pt>
                </c:numCache>
              </c:numRef>
            </c:plus>
            <c:minus>
              <c:numRef>
                <c:f>'Resume Graph'!$N$3:$N$8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9.8831366004564769E-4</c:v>
                  </c:pt>
                  <c:pt idx="3">
                    <c:v>1.0247828412517368E-3</c:v>
                  </c:pt>
                  <c:pt idx="4">
                    <c:v>9.2048615192807937E-4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Graph'!$K$3:$K$8</c:f>
              <c:numCache>
                <c:formatCode>0.00000%</c:formatCode>
                <c:ptCount val="6"/>
                <c:pt idx="1">
                  <c:v>0.56055216415949483</c:v>
                </c:pt>
                <c:pt idx="2">
                  <c:v>0.40604628162041206</c:v>
                </c:pt>
                <c:pt idx="3">
                  <c:v>0.56470116676640758</c:v>
                </c:pt>
                <c:pt idx="4">
                  <c:v>0.6094149477267925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2E-4809-A041-A94C5524E24B}"/>
            </c:ext>
          </c:extLst>
        </c:ser>
        <c:ser>
          <c:idx val="1"/>
          <c:order val="4"/>
          <c:tx>
            <c:strRef>
              <c:f>'Resume Graph'!$L$2</c:f>
              <c:strCache>
                <c:ptCount val="1"/>
                <c:pt idx="0">
                  <c:v>3000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Graph'!$R$3:$R$8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6.2255203102873358E-4</c:v>
                  </c:pt>
                  <c:pt idx="3">
                    <c:v>5.1137397257794426E-4</c:v>
                  </c:pt>
                  <c:pt idx="4">
                    <c:v>4.6402337346795886E-4</c:v>
                  </c:pt>
                </c:numCache>
              </c:numRef>
            </c:plus>
            <c:minus>
              <c:numRef>
                <c:f>'Resume Graph'!$O$3:$O$8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6.2255203102873358E-4</c:v>
                  </c:pt>
                  <c:pt idx="3">
                    <c:v>5.1137397257794426E-4</c:v>
                  </c:pt>
                  <c:pt idx="4">
                    <c:v>4.6402337346795886E-4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Graph'!$L$3:$L$8</c:f>
              <c:numCache>
                <c:formatCode>0.00000%</c:formatCode>
                <c:ptCount val="6"/>
                <c:pt idx="1">
                  <c:v>0.560483849077827</c:v>
                </c:pt>
                <c:pt idx="2">
                  <c:v>0.40566092315490554</c:v>
                </c:pt>
                <c:pt idx="3">
                  <c:v>0.56310640699700354</c:v>
                </c:pt>
                <c:pt idx="4">
                  <c:v>0.60857542099172401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E-4809-A041-A94C5524E24B}"/>
            </c:ext>
          </c:extLst>
        </c:ser>
        <c:ser>
          <c:idx val="2"/>
          <c:order val="5"/>
          <c:tx>
            <c:strRef>
              <c:f>'Resume Graph'!$M$2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Graph'!$S$3:$S$8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4.2567246304470174E-4</c:v>
                  </c:pt>
                  <c:pt idx="3">
                    <c:v>4.0676137379025423E-4</c:v>
                  </c:pt>
                  <c:pt idx="4">
                    <c:v>4.4793313877600216E-4</c:v>
                  </c:pt>
                </c:numCache>
              </c:numRef>
            </c:plus>
            <c:minus>
              <c:numRef>
                <c:f>'Resume Graph'!$T$12</c:f>
                <c:numCache>
                  <c:formatCode>General</c:formatCode>
                  <c:ptCount val="1"/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Graph'!$M$3:$M$8</c:f>
              <c:numCache>
                <c:formatCode>0.00000%</c:formatCode>
                <c:ptCount val="6"/>
                <c:pt idx="1">
                  <c:v>0.56378002706971431</c:v>
                </c:pt>
                <c:pt idx="2">
                  <c:v>0.40708585928652291</c:v>
                </c:pt>
                <c:pt idx="3">
                  <c:v>0.56655127432805996</c:v>
                </c:pt>
                <c:pt idx="4">
                  <c:v>0.61213109289703982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2E-4809-A041-A94C5524E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3"/>
          <c:order val="0"/>
          <c:tx>
            <c:strRef>
              <c:f>'Resume Graph'!$T$2</c:f>
              <c:strCache>
                <c:ptCount val="1"/>
                <c:pt idx="0">
                  <c:v>ILP_1000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Graph'!$T$3:$T$8</c:f>
              <c:numCache>
                <c:formatCode>0.00000%</c:formatCode>
                <c:ptCount val="6"/>
                <c:pt idx="0">
                  <c:v>0.48184390601960131</c:v>
                </c:pt>
                <c:pt idx="1">
                  <c:v>0.48184390601960131</c:v>
                </c:pt>
                <c:pt idx="2">
                  <c:v>0.48184390601960131</c:v>
                </c:pt>
                <c:pt idx="3">
                  <c:v>0.48184390601960131</c:v>
                </c:pt>
                <c:pt idx="4">
                  <c:v>0.48184390601960131</c:v>
                </c:pt>
                <c:pt idx="5">
                  <c:v>0.48184390601960131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2E-4809-A041-A94C5524E24B}"/>
            </c:ext>
          </c:extLst>
        </c:ser>
        <c:ser>
          <c:idx val="4"/>
          <c:order val="1"/>
          <c:tx>
            <c:strRef>
              <c:f>'Resume Graph'!$U$2</c:f>
              <c:strCache>
                <c:ptCount val="1"/>
                <c:pt idx="0">
                  <c:v>ILP_3000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Graph'!$U$3:$U$8</c:f>
              <c:numCache>
                <c:formatCode>0.00000%</c:formatCode>
                <c:ptCount val="6"/>
                <c:pt idx="0">
                  <c:v>0.47955714845645808</c:v>
                </c:pt>
                <c:pt idx="1">
                  <c:v>0.47955714845645808</c:v>
                </c:pt>
                <c:pt idx="2">
                  <c:v>0.47955714845645808</c:v>
                </c:pt>
                <c:pt idx="3">
                  <c:v>0.47955714845645808</c:v>
                </c:pt>
                <c:pt idx="4">
                  <c:v>0.47955714845645808</c:v>
                </c:pt>
                <c:pt idx="5">
                  <c:v>0.47955714845645808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2E-4809-A041-A94C5524E24B}"/>
            </c:ext>
          </c:extLst>
        </c:ser>
        <c:ser>
          <c:idx val="5"/>
          <c:order val="2"/>
          <c:tx>
            <c:strRef>
              <c:f>'Resume Graph'!$V$2</c:f>
              <c:strCache>
                <c:ptCount val="1"/>
                <c:pt idx="0">
                  <c:v>ILP_5000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Graph'!$V$3:$V$8</c:f>
              <c:numCache>
                <c:formatCode>0.00000%</c:formatCode>
                <c:ptCount val="6"/>
                <c:pt idx="0">
                  <c:v>0.48377120660101286</c:v>
                </c:pt>
                <c:pt idx="1">
                  <c:v>0.48377120660101286</c:v>
                </c:pt>
                <c:pt idx="2">
                  <c:v>0.48377120660101286</c:v>
                </c:pt>
                <c:pt idx="3">
                  <c:v>0.48377120660101286</c:v>
                </c:pt>
                <c:pt idx="4">
                  <c:v>0.48377120660101286</c:v>
                </c:pt>
                <c:pt idx="5">
                  <c:v>0.48377120660101286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2E-4809-A041-A94C5524E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1.0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Acceptance Rate (%)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15220722222222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%" sourceLinked="0"/>
        <c:majorTickMark val="cross"/>
        <c:minorTickMark val="none"/>
        <c:tickLblPos val="nextTo"/>
        <c:spPr>
          <a:noFill/>
          <a:ln w="12700" cap="sq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 val="autoZero"/>
        <c:crossBetween val="midCat"/>
        <c:majorUnit val="0.25"/>
        <c:minorUnit val="0.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7880956790123456"/>
          <c:y val="0.9155861111111111"/>
          <c:w val="0.7114373456790124"/>
          <c:h val="8.441388888888888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125771604938276"/>
          <c:y val="3.8147191118767347E-2"/>
          <c:w val="0.706062962962963"/>
          <c:h val="0.783246666666666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Graph'!$K$21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Graph'!$Q$22:$Q$27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7.3999928265006034E-5</c:v>
                  </c:pt>
                  <c:pt idx="3">
                    <c:v>0.13899715852506134</c:v>
                  </c:pt>
                  <c:pt idx="4">
                    <c:v>0.21410574335061483</c:v>
                  </c:pt>
                </c:numCache>
              </c:numRef>
            </c:plus>
            <c:minus>
              <c:numRef>
                <c:f>'Resume Graph'!$N$22:$N$27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7.3999928265006034E-5</c:v>
                  </c:pt>
                  <c:pt idx="3">
                    <c:v>0.13899715852506134</c:v>
                  </c:pt>
                  <c:pt idx="4">
                    <c:v>0.21410574335061483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Graph'!$K$22:$K$27</c:f>
              <c:numCache>
                <c:formatCode>0.0000000000</c:formatCode>
                <c:ptCount val="6"/>
                <c:pt idx="1">
                  <c:v>4.7102325E-2</c:v>
                </c:pt>
                <c:pt idx="2">
                  <c:v>3.3070979142857137E-3</c:v>
                </c:pt>
                <c:pt idx="3">
                  <c:v>19.793286332114285</c:v>
                </c:pt>
                <c:pt idx="4">
                  <c:v>70.172355326371417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4D-4FC5-95AB-11DF623EB17A}"/>
            </c:ext>
          </c:extLst>
        </c:ser>
        <c:ser>
          <c:idx val="4"/>
          <c:order val="1"/>
          <c:tx>
            <c:strRef>
              <c:f>'Resume Graph'!$L$21</c:f>
              <c:strCache>
                <c:ptCount val="1"/>
                <c:pt idx="0">
                  <c:v>3000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Graph'!$R$22:$R$27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1.3622985174533211E-4</c:v>
                  </c:pt>
                  <c:pt idx="3">
                    <c:v>0.51929069269257866</c:v>
                  </c:pt>
                  <c:pt idx="4">
                    <c:v>0.85657604404832455</c:v>
                  </c:pt>
                </c:numCache>
              </c:numRef>
            </c:plus>
            <c:minus>
              <c:numRef>
                <c:f>'Resume Graph'!$O$22:$O$27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1.3622985174533211E-4</c:v>
                  </c:pt>
                  <c:pt idx="3">
                    <c:v>0.51929069269257866</c:v>
                  </c:pt>
                  <c:pt idx="4">
                    <c:v>0.85657604404832455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Graph'!$L$22:$L$27</c:f>
              <c:numCache>
                <c:formatCode>0.0000000000</c:formatCode>
                <c:ptCount val="6"/>
                <c:pt idx="1">
                  <c:v>0.130656471</c:v>
                </c:pt>
                <c:pt idx="2">
                  <c:v>1.0033077228571429E-2</c:v>
                </c:pt>
                <c:pt idx="3">
                  <c:v>163.08860514557145</c:v>
                </c:pt>
                <c:pt idx="4">
                  <c:v>598.91037369411436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4D-4FC5-95AB-11DF623EB17A}"/>
            </c:ext>
          </c:extLst>
        </c:ser>
        <c:ser>
          <c:idx val="5"/>
          <c:order val="2"/>
          <c:tx>
            <c:strRef>
              <c:f>'Resume Graph'!$M$21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Graph'!$S$22:$S$27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1.66968896909956E-4</c:v>
                  </c:pt>
                  <c:pt idx="3">
                    <c:v>1.0628470698266028</c:v>
                  </c:pt>
                  <c:pt idx="4">
                    <c:v>2.0159020414560018</c:v>
                  </c:pt>
                </c:numCache>
              </c:numRef>
            </c:plus>
            <c:minus>
              <c:numRef>
                <c:f>'Resume Graph'!$P$22:$P$27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1.66968896909956E-4</c:v>
                  </c:pt>
                  <c:pt idx="3">
                    <c:v>1.0628470698266028</c:v>
                  </c:pt>
                  <c:pt idx="4">
                    <c:v>2.0159020414560018</c:v>
                  </c:pt>
                </c:numCache>
              </c:numRef>
            </c:minus>
            <c:spPr>
              <a:noFill/>
              <a:ln w="25400" cap="sq" cmpd="sng" algn="ctr">
                <a:solidFill>
                  <a:sysClr val="windowText" lastClr="000000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Graph'!$M$22:$M$27</c:f>
              <c:numCache>
                <c:formatCode>0.0000000000</c:formatCode>
                <c:ptCount val="6"/>
                <c:pt idx="1">
                  <c:v>0.211900385</c:v>
                </c:pt>
                <c:pt idx="2">
                  <c:v>1.6588650857142857E-2</c:v>
                </c:pt>
                <c:pt idx="3">
                  <c:v>442.67868966794293</c:v>
                </c:pt>
                <c:pt idx="4">
                  <c:v>1634.4001142251716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4D-4FC5-95AB-11DF623EB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Graph'!$T$21</c:f>
              <c:strCache>
                <c:ptCount val="1"/>
                <c:pt idx="0">
                  <c:v>ILP_1000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Graph'!$T$22:$T$27</c:f>
              <c:numCache>
                <c:formatCode>0.0000000000</c:formatCode>
                <c:ptCount val="6"/>
                <c:pt idx="0">
                  <c:v>2012.7492886780001</c:v>
                </c:pt>
                <c:pt idx="1">
                  <c:v>2012.7492886780001</c:v>
                </c:pt>
                <c:pt idx="2">
                  <c:v>2012.7492886780001</c:v>
                </c:pt>
                <c:pt idx="3">
                  <c:v>2012.7492886780001</c:v>
                </c:pt>
                <c:pt idx="4">
                  <c:v>2012.7492886780001</c:v>
                </c:pt>
                <c:pt idx="5">
                  <c:v>2012.7492886780001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94D-4FC5-95AB-11DF623EB17A}"/>
            </c:ext>
          </c:extLst>
        </c:ser>
        <c:ser>
          <c:idx val="7"/>
          <c:order val="4"/>
          <c:tx>
            <c:strRef>
              <c:f>'Resume Graph'!$U$21</c:f>
              <c:strCache>
                <c:ptCount val="1"/>
                <c:pt idx="0">
                  <c:v>ILP_3000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Graph'!$U$22:$U$27</c:f>
              <c:numCache>
                <c:formatCode>0.0000000000</c:formatCode>
                <c:ptCount val="6"/>
                <c:pt idx="0">
                  <c:v>6027.1568870459996</c:v>
                </c:pt>
                <c:pt idx="1">
                  <c:v>6027.1568870459996</c:v>
                </c:pt>
                <c:pt idx="2">
                  <c:v>6027.1568870459996</c:v>
                </c:pt>
                <c:pt idx="3">
                  <c:v>6027.1568870459996</c:v>
                </c:pt>
                <c:pt idx="4">
                  <c:v>6027.1568870459996</c:v>
                </c:pt>
                <c:pt idx="5">
                  <c:v>6027.1568870459996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94D-4FC5-95AB-11DF623EB17A}"/>
            </c:ext>
          </c:extLst>
        </c:ser>
        <c:ser>
          <c:idx val="8"/>
          <c:order val="5"/>
          <c:tx>
            <c:strRef>
              <c:f>'Resume Graph'!$V$21</c:f>
              <c:strCache>
                <c:ptCount val="1"/>
                <c:pt idx="0">
                  <c:v>ILP_5000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Graph'!$V$22:$V$27</c:f>
              <c:numCache>
                <c:formatCode>0.0000000000</c:formatCode>
                <c:ptCount val="6"/>
                <c:pt idx="0">
                  <c:v>10015.612801911</c:v>
                </c:pt>
                <c:pt idx="1">
                  <c:v>10015.612801911</c:v>
                </c:pt>
                <c:pt idx="2">
                  <c:v>10015.612801911</c:v>
                </c:pt>
                <c:pt idx="3">
                  <c:v>10015.612801911</c:v>
                </c:pt>
                <c:pt idx="4">
                  <c:v>10015.612801911</c:v>
                </c:pt>
                <c:pt idx="5">
                  <c:v>10015.612801911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94D-4FC5-95AB-11DF623EB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9.9999999999999995E-7"/>
        <c:auto val="0"/>
        <c:lblAlgn val="ctr"/>
        <c:lblOffset val="0"/>
        <c:noMultiLvlLbl val="0"/>
      </c:catAx>
      <c:valAx>
        <c:axId val="139410912"/>
        <c:scaling>
          <c:logBase val="100"/>
          <c:orientation val="minMax"/>
          <c:max val="15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Runtime (s)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28626277777777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E+0" sourceLinked="0"/>
        <c:majorTickMark val="cross"/>
        <c:minorTickMark val="none"/>
        <c:tickLblPos val="low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7880956790123456"/>
          <c:y val="0.90853055555555551"/>
          <c:w val="0.70901635802469132"/>
          <c:h val="9.14694444444444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44598765432099"/>
          <c:y val="3.8147191118767347E-2"/>
          <c:w val="0.6820222222222222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Graph'!$K$40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Graph'!$Q$41:$Q$46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230.69182472821558</c:v>
                  </c:pt>
                  <c:pt idx="3">
                    <c:v>152.93740187234653</c:v>
                  </c:pt>
                  <c:pt idx="4">
                    <c:v>167.43393464580004</c:v>
                  </c:pt>
                </c:numCache>
              </c:numRef>
            </c:plus>
            <c:minus>
              <c:numRef>
                <c:f>'Resume Graph'!$N$41:$N$46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230.69182472821558</c:v>
                  </c:pt>
                  <c:pt idx="3">
                    <c:v>152.93740187234653</c:v>
                  </c:pt>
                  <c:pt idx="4">
                    <c:v>167.43393464580004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Graph'!$K$41:$K$46</c:f>
              <c:numCache>
                <c:formatCode>0.0000000000</c:formatCode>
                <c:ptCount val="6"/>
                <c:pt idx="1">
                  <c:v>110361.688308</c:v>
                </c:pt>
                <c:pt idx="2">
                  <c:v>157506.1131835714</c:v>
                </c:pt>
                <c:pt idx="3">
                  <c:v>111451.81272548572</c:v>
                </c:pt>
                <c:pt idx="4">
                  <c:v>111677.58110014282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AF-401F-BC72-2CDE3BCB67AB}"/>
            </c:ext>
          </c:extLst>
        </c:ser>
        <c:ser>
          <c:idx val="4"/>
          <c:order val="1"/>
          <c:tx>
            <c:strRef>
              <c:f>'Resume Graph'!$L$40</c:f>
              <c:strCache>
                <c:ptCount val="1"/>
                <c:pt idx="0">
                  <c:v>3000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Graph'!$R$41:$R$46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446.98669483239064</c:v>
                  </c:pt>
                  <c:pt idx="3">
                    <c:v>284.64590084325755</c:v>
                  </c:pt>
                  <c:pt idx="4">
                    <c:v>270.20569422905101</c:v>
                  </c:pt>
                </c:numCache>
              </c:numRef>
            </c:plus>
            <c:minus>
              <c:numRef>
                <c:f>'Resume Graph'!$O$41:$O$46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446.98669483239064</c:v>
                  </c:pt>
                  <c:pt idx="3">
                    <c:v>284.64590084325755</c:v>
                  </c:pt>
                  <c:pt idx="4">
                    <c:v>270.20569422905101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Graph'!$L$41:$L$46</c:f>
              <c:numCache>
                <c:formatCode>0.0000000000</c:formatCode>
                <c:ptCount val="6"/>
                <c:pt idx="1">
                  <c:v>328323.96620000002</c:v>
                </c:pt>
                <c:pt idx="2">
                  <c:v>470114.31988994288</c:v>
                </c:pt>
                <c:pt idx="3">
                  <c:v>332036.4237469142</c:v>
                </c:pt>
                <c:pt idx="4">
                  <c:v>332915.91143534298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AF-401F-BC72-2CDE3BCB67AB}"/>
            </c:ext>
          </c:extLst>
        </c:ser>
        <c:ser>
          <c:idx val="5"/>
          <c:order val="2"/>
          <c:tx>
            <c:strRef>
              <c:f>'Resume Graph'!$M$40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Graph'!$S$41:$S$46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471.28558365348727</c:v>
                  </c:pt>
                  <c:pt idx="3">
                    <c:v>379.20048564323224</c:v>
                  </c:pt>
                  <c:pt idx="4">
                    <c:v>461.46405710815452</c:v>
                  </c:pt>
                </c:numCache>
              </c:numRef>
            </c:plus>
            <c:minus>
              <c:numRef>
                <c:f>'Resume Graph'!$P$41:$P$46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471.28558365348727</c:v>
                  </c:pt>
                  <c:pt idx="3">
                    <c:v>379.20048564323224</c:v>
                  </c:pt>
                  <c:pt idx="4">
                    <c:v>461.46405710815452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Graph'!$M$41:$M$46</c:f>
              <c:numCache>
                <c:formatCode>0.0000000000</c:formatCode>
                <c:ptCount val="6"/>
                <c:pt idx="1">
                  <c:v>541822.39735800005</c:v>
                </c:pt>
                <c:pt idx="2">
                  <c:v>779559.45165854273</c:v>
                </c:pt>
                <c:pt idx="3">
                  <c:v>547833.7451625712</c:v>
                </c:pt>
                <c:pt idx="4">
                  <c:v>549335.18862442859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AF-401F-BC72-2CDE3BCB6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Graph'!$T$40</c:f>
              <c:strCache>
                <c:ptCount val="1"/>
                <c:pt idx="0">
                  <c:v>ILP_1000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Graph'!$T$41:$T$46</c:f>
              <c:numCache>
                <c:formatCode>0.0000000000</c:formatCode>
                <c:ptCount val="6"/>
                <c:pt idx="0">
                  <c:v>135408.56190500001</c:v>
                </c:pt>
                <c:pt idx="1">
                  <c:v>135408.56190500001</c:v>
                </c:pt>
                <c:pt idx="2">
                  <c:v>135408.56190500001</c:v>
                </c:pt>
                <c:pt idx="3">
                  <c:v>135408.56190500001</c:v>
                </c:pt>
                <c:pt idx="4">
                  <c:v>135408.56190500001</c:v>
                </c:pt>
                <c:pt idx="5">
                  <c:v>135408.56190500001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AF-401F-BC72-2CDE3BCB67AB}"/>
            </c:ext>
          </c:extLst>
        </c:ser>
        <c:ser>
          <c:idx val="7"/>
          <c:order val="4"/>
          <c:tx>
            <c:strRef>
              <c:f>'Resume Graph'!$U$40</c:f>
              <c:strCache>
                <c:ptCount val="1"/>
                <c:pt idx="0">
                  <c:v>ILP_3000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Graph'!$U$41:$U$46</c:f>
              <c:numCache>
                <c:formatCode>0.0000000000</c:formatCode>
                <c:ptCount val="6"/>
                <c:pt idx="0">
                  <c:v>405260.57230399997</c:v>
                </c:pt>
                <c:pt idx="1">
                  <c:v>405260.57230399997</c:v>
                </c:pt>
                <c:pt idx="2">
                  <c:v>405260.57230399997</c:v>
                </c:pt>
                <c:pt idx="3">
                  <c:v>405260.57230399997</c:v>
                </c:pt>
                <c:pt idx="4">
                  <c:v>405260.57230399997</c:v>
                </c:pt>
                <c:pt idx="5">
                  <c:v>405260.57230399997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1AF-401F-BC72-2CDE3BCB67AB}"/>
            </c:ext>
          </c:extLst>
        </c:ser>
        <c:ser>
          <c:idx val="8"/>
          <c:order val="5"/>
          <c:tx>
            <c:strRef>
              <c:f>'Resume Graph'!$V$40</c:f>
              <c:strCache>
                <c:ptCount val="1"/>
                <c:pt idx="0">
                  <c:v>ILP_5000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Graph'!$V$41:$V$46</c:f>
              <c:numCache>
                <c:formatCode>0.0000000000</c:formatCode>
                <c:ptCount val="6"/>
                <c:pt idx="0">
                  <c:v>669538.45372400002</c:v>
                </c:pt>
                <c:pt idx="1">
                  <c:v>669538.45372400002</c:v>
                </c:pt>
                <c:pt idx="2">
                  <c:v>669538.45372400002</c:v>
                </c:pt>
                <c:pt idx="3">
                  <c:v>669538.45372400002</c:v>
                </c:pt>
                <c:pt idx="4">
                  <c:v>669538.45372400002</c:v>
                </c:pt>
                <c:pt idx="5">
                  <c:v>669538.45372400002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1AF-401F-BC72-2CDE3BCB6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logBase val="10"/>
          <c:orientation val="minMax"/>
          <c:max val="2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Total Cost</a:t>
                </a:r>
                <a:r>
                  <a:rPr lang="pt-BR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(€)</a:t>
                </a:r>
                <a:endParaRPr lang="pt-BR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491666666666669E-3"/>
              <c:y val="0.25804055555555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0620912650719186"/>
          <c:y val="0.92264166666666669"/>
          <c:w val="0.68553638584111964"/>
          <c:h val="7.735833333333333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451944444444443"/>
          <c:y val="4.0042202429315769E-2"/>
          <c:w val="0.71791759259259258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Graph'!$K$59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Graph'!$Q$60:$Q$65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0.54668943591497055</c:v>
                  </c:pt>
                  <c:pt idx="3">
                    <c:v>0.41332221723996554</c:v>
                  </c:pt>
                  <c:pt idx="4">
                    <c:v>0.36015509084160158</c:v>
                  </c:pt>
                </c:numCache>
              </c:numRef>
            </c:plus>
            <c:minus>
              <c:numRef>
                <c:f>'Resume Graph'!$N$60:$N$65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0.54668943591497055</c:v>
                  </c:pt>
                  <c:pt idx="3">
                    <c:v>0.41332221723996554</c:v>
                  </c:pt>
                  <c:pt idx="4">
                    <c:v>0.36015509084160158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Graph'!$K$60:$K$65</c:f>
              <c:numCache>
                <c:formatCode>0.0000000000</c:formatCode>
                <c:ptCount val="6"/>
                <c:pt idx="1">
                  <c:v>259.23682600000001</c:v>
                </c:pt>
                <c:pt idx="2">
                  <c:v>278.44477879999999</c:v>
                </c:pt>
                <c:pt idx="3">
                  <c:v>264.48115568571427</c:v>
                </c:pt>
                <c:pt idx="4">
                  <c:v>272.36241111428569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3-4175-85EE-32C9AA34E941}"/>
            </c:ext>
          </c:extLst>
        </c:ser>
        <c:ser>
          <c:idx val="4"/>
          <c:order val="1"/>
          <c:tx>
            <c:strRef>
              <c:f>'Resume Graph'!$L$59</c:f>
              <c:strCache>
                <c:ptCount val="1"/>
                <c:pt idx="0">
                  <c:v>3000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Graph'!$R$60:$R$65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0.31012139625329382</c:v>
                  </c:pt>
                  <c:pt idx="3">
                    <c:v>0.28605119608556606</c:v>
                  </c:pt>
                  <c:pt idx="4">
                    <c:v>0.21965359711151677</c:v>
                  </c:pt>
                </c:numCache>
              </c:numRef>
            </c:plus>
            <c:minus>
              <c:numRef>
                <c:f>'Resume Graph'!$O$60:$O$65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0.31012139625329382</c:v>
                  </c:pt>
                  <c:pt idx="3">
                    <c:v>0.28605119608556606</c:v>
                  </c:pt>
                  <c:pt idx="4">
                    <c:v>0.21965359711151677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Graph'!$L$60:$L$65</c:f>
              <c:numCache>
                <c:formatCode>0.0000000000</c:formatCode>
                <c:ptCount val="6"/>
                <c:pt idx="1">
                  <c:v>260.091702</c:v>
                </c:pt>
                <c:pt idx="2">
                  <c:v>279.09656231428568</c:v>
                </c:pt>
                <c:pt idx="3">
                  <c:v>264.50905405714281</c:v>
                </c:pt>
                <c:pt idx="4">
                  <c:v>272.99618337142857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53-4175-85EE-32C9AA34E941}"/>
            </c:ext>
          </c:extLst>
        </c:ser>
        <c:ser>
          <c:idx val="5"/>
          <c:order val="2"/>
          <c:tx>
            <c:strRef>
              <c:f>'Resume Graph'!$M$59</c:f>
              <c:strCache>
                <c:ptCount val="1"/>
                <c:pt idx="0">
                  <c:v>5000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Graph'!$S$60:$S$65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0.19211045452055941</c:v>
                  </c:pt>
                  <c:pt idx="3">
                    <c:v>0.21156509731127926</c:v>
                  </c:pt>
                  <c:pt idx="4">
                    <c:v>0.18943527116329051</c:v>
                  </c:pt>
                </c:numCache>
              </c:numRef>
            </c:plus>
            <c:minus>
              <c:numRef>
                <c:f>'Resume Graph'!$P$60:$P$65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0.19211045452055941</c:v>
                  </c:pt>
                  <c:pt idx="3">
                    <c:v>0.21156509731127926</c:v>
                  </c:pt>
                  <c:pt idx="4">
                    <c:v>0.18943527116329051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Graph'!$M$60:$M$65</c:f>
              <c:numCache>
                <c:formatCode>0.0000000000</c:formatCode>
                <c:ptCount val="6"/>
                <c:pt idx="1">
                  <c:v>259.4633</c:v>
                </c:pt>
                <c:pt idx="2">
                  <c:v>279.13472982857149</c:v>
                </c:pt>
                <c:pt idx="3">
                  <c:v>264.55226557142856</c:v>
                </c:pt>
                <c:pt idx="4">
                  <c:v>273.08601851428568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53-4175-85EE-32C9AA34E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0"/>
          <c:order val="3"/>
          <c:tx>
            <c:strRef>
              <c:f>'Resume Graph'!$T$59</c:f>
              <c:strCache>
                <c:ptCount val="1"/>
                <c:pt idx="0">
                  <c:v>ILP_1000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Graph'!$T$60:$T$65</c:f>
              <c:numCache>
                <c:formatCode>0.0000000000</c:formatCode>
                <c:ptCount val="6"/>
                <c:pt idx="0">
                  <c:v>240.03955999999999</c:v>
                </c:pt>
                <c:pt idx="1">
                  <c:v>240.03955999999999</c:v>
                </c:pt>
                <c:pt idx="2">
                  <c:v>240.03955999999999</c:v>
                </c:pt>
                <c:pt idx="3">
                  <c:v>240.03955999999999</c:v>
                </c:pt>
                <c:pt idx="4">
                  <c:v>240.03955999999999</c:v>
                </c:pt>
                <c:pt idx="5">
                  <c:v>240.03955999999999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D53-4175-85EE-32C9AA34E941}"/>
            </c:ext>
          </c:extLst>
        </c:ser>
        <c:ser>
          <c:idx val="1"/>
          <c:order val="4"/>
          <c:tx>
            <c:strRef>
              <c:f>'Resume Graph'!$U$59</c:f>
              <c:strCache>
                <c:ptCount val="1"/>
                <c:pt idx="0">
                  <c:v>ILP_3000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Graph'!$U$60:$U$65</c:f>
              <c:numCache>
                <c:formatCode>0.0000000000</c:formatCode>
                <c:ptCount val="6"/>
                <c:pt idx="0">
                  <c:v>241.47233800000001</c:v>
                </c:pt>
                <c:pt idx="1">
                  <c:v>241.47233800000001</c:v>
                </c:pt>
                <c:pt idx="2">
                  <c:v>241.47233800000001</c:v>
                </c:pt>
                <c:pt idx="3">
                  <c:v>241.47233800000001</c:v>
                </c:pt>
                <c:pt idx="4">
                  <c:v>241.47233800000001</c:v>
                </c:pt>
                <c:pt idx="5">
                  <c:v>241.47233800000001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D53-4175-85EE-32C9AA34E941}"/>
            </c:ext>
          </c:extLst>
        </c:ser>
        <c:ser>
          <c:idx val="2"/>
          <c:order val="5"/>
          <c:tx>
            <c:strRef>
              <c:f>'Resume Graph'!$V$59</c:f>
              <c:strCache>
                <c:ptCount val="1"/>
                <c:pt idx="0">
                  <c:v>ILP_5000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val>
            <c:numRef>
              <c:f>'Resume Graph'!$V$60:$V$65</c:f>
              <c:numCache>
                <c:formatCode>0.0000000000</c:formatCode>
                <c:ptCount val="6"/>
                <c:pt idx="0">
                  <c:v>241.34255999999999</c:v>
                </c:pt>
                <c:pt idx="1">
                  <c:v>241.34255999999999</c:v>
                </c:pt>
                <c:pt idx="2">
                  <c:v>241.34255999999999</c:v>
                </c:pt>
                <c:pt idx="3">
                  <c:v>241.34255999999999</c:v>
                </c:pt>
                <c:pt idx="4">
                  <c:v>241.34255999999999</c:v>
                </c:pt>
                <c:pt idx="5">
                  <c:v>241.34255999999999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D53-4175-85EE-32C9AA34E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b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Avg. Response Time (ms)</a:t>
                </a:r>
                <a:endParaRPr lang="pt-BR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679215290970418E-3"/>
              <c:y val="2.8334794288137989E-2"/>
            </c:manualLayout>
          </c:layout>
          <c:overlay val="0"/>
          <c:spPr>
            <a:noFill/>
            <a:ln w="6350">
              <a:noFill/>
            </a:ln>
            <a:effectLst/>
          </c:spPr>
          <c:txPr>
            <a:bodyPr rot="-5400000" spcFirstLastPara="1" vertOverflow="ellipsis" vert="horz" wrap="square" anchor="b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5137129629629631"/>
          <c:y val="0.92264166666666669"/>
          <c:w val="0.716855864197531"/>
          <c:h val="7.735833333333333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17654320987655"/>
          <c:y val="2.4608024691358026E-2"/>
          <c:w val="0.71060000000000001"/>
          <c:h val="0.78402388888888885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'Resume Graph 10'!$K$2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10'!$Q$3:$Q$8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3.1789824582681425E-3</c:v>
                  </c:pt>
                  <c:pt idx="3">
                    <c:v>2.044505744875913E-3</c:v>
                  </c:pt>
                  <c:pt idx="4">
                    <c:v>2.6349994567717028E-3</c:v>
                  </c:pt>
                </c:numCache>
              </c:numRef>
            </c:plus>
            <c:minus>
              <c:numRef>
                <c:f>'Resume Graph 10'!$N$3:$N$8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3.1789824582681425E-3</c:v>
                  </c:pt>
                  <c:pt idx="3">
                    <c:v>2.044505744875913E-3</c:v>
                  </c:pt>
                  <c:pt idx="4">
                    <c:v>2.6349994567717028E-3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10'!$K$3:$K$8</c:f>
              <c:numCache>
                <c:formatCode>0.00000%</c:formatCode>
                <c:ptCount val="6"/>
                <c:pt idx="1">
                  <c:v>0.42245989304812837</c:v>
                </c:pt>
                <c:pt idx="2">
                  <c:v>0.39505882352941168</c:v>
                </c:pt>
                <c:pt idx="3">
                  <c:v>0.45164705882352957</c:v>
                </c:pt>
                <c:pt idx="4">
                  <c:v>0.45627807486631011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1-4FE9-9DDB-DFC9425CA145}"/>
            </c:ext>
          </c:extLst>
        </c:ser>
        <c:ser>
          <c:idx val="1"/>
          <c:order val="4"/>
          <c:tx>
            <c:strRef>
              <c:f>'Resume Graph 10'!$L$2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10'!$R$3:$R$8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4.5407695424601324E-4</c:v>
                  </c:pt>
                  <c:pt idx="3">
                    <c:v>1.2121809242730278E-2</c:v>
                  </c:pt>
                  <c:pt idx="4">
                    <c:v>1.6853409068144073E-2</c:v>
                  </c:pt>
                </c:numCache>
              </c:numRef>
            </c:plus>
            <c:minus>
              <c:numRef>
                <c:f>'Resume Graph 10'!$O$3:$O$8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4.5407695424601324E-4</c:v>
                  </c:pt>
                  <c:pt idx="3">
                    <c:v>1.2121809242730278E-2</c:v>
                  </c:pt>
                  <c:pt idx="4">
                    <c:v>1.685340906814406E-2</c:v>
                  </c:pt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10'!$L$3:$L$8</c:f>
              <c:numCache>
                <c:formatCode>0.00000%</c:formatCode>
                <c:ptCount val="6"/>
                <c:pt idx="1">
                  <c:v>4.4541010320477997E-2</c:v>
                </c:pt>
                <c:pt idx="2">
                  <c:v>5.0922324823465523E-2</c:v>
                </c:pt>
                <c:pt idx="3">
                  <c:v>9.3989136338946247E-2</c:v>
                </c:pt>
                <c:pt idx="4">
                  <c:v>0.11282781097229767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E1-4FE9-9DDB-DFC9425CA145}"/>
            </c:ext>
          </c:extLst>
        </c:ser>
        <c:ser>
          <c:idx val="2"/>
          <c:order val="5"/>
          <c:tx>
            <c:strRef>
              <c:f>'Resume Graph 10'!$M$2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10'!$S$3:$S$8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1.4746594644783964E-4</c:v>
                  </c:pt>
                  <c:pt idx="3">
                    <c:v>9.7485422630858715E-5</c:v>
                  </c:pt>
                  <c:pt idx="4">
                    <c:v>1.3528356402840724E-4</c:v>
                  </c:pt>
                </c:numCache>
              </c:numRef>
            </c:plus>
            <c:minus>
              <c:numRef>
                <c:f>'Resume Graph 10'!$T$12</c:f>
                <c:numCache>
                  <c:formatCode>General</c:formatCode>
                  <c:ptCount val="1"/>
                </c:numCache>
              </c:numRef>
            </c:minus>
            <c:spPr>
              <a:noFill/>
              <a:ln w="25400" cap="sq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10'!$M$3:$M$8</c:f>
              <c:numCache>
                <c:formatCode>0.00000%</c:formatCode>
                <c:ptCount val="6"/>
                <c:pt idx="1">
                  <c:v>1.201946524759665E-2</c:v>
                </c:pt>
                <c:pt idx="2">
                  <c:v>1.7378044154464759E-2</c:v>
                </c:pt>
                <c:pt idx="3">
                  <c:v>1.2945690225107567E-2</c:v>
                </c:pt>
                <c:pt idx="4">
                  <c:v>2.0267051058341555E-2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E1-4FE9-9DDB-DFC9425C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3"/>
          <c:order val="0"/>
          <c:tx>
            <c:strRef>
              <c:f>'Resume Graph 10'!$T$2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10'!$T$3:$T$8</c:f>
              <c:numCache>
                <c:formatCode>0.00000%</c:formatCode>
                <c:ptCount val="6"/>
                <c:pt idx="0">
                  <c:v>0.44278074866310158</c:v>
                </c:pt>
                <c:pt idx="1">
                  <c:v>0.44278074866310158</c:v>
                </c:pt>
                <c:pt idx="2">
                  <c:v>0.44278074866310158</c:v>
                </c:pt>
                <c:pt idx="3">
                  <c:v>0.44278074866310158</c:v>
                </c:pt>
                <c:pt idx="4">
                  <c:v>0.44278074866310158</c:v>
                </c:pt>
                <c:pt idx="5">
                  <c:v>0.44278074866310158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1-4FE9-9DDB-DFC9425CA145}"/>
            </c:ext>
          </c:extLst>
        </c:ser>
        <c:ser>
          <c:idx val="4"/>
          <c:order val="1"/>
          <c:tx>
            <c:strRef>
              <c:f>'Resume Graph 10'!$U$2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10'!$U$3:$U$8</c:f>
              <c:numCache>
                <c:formatCode>0.00000%</c:formatCode>
                <c:ptCount val="6"/>
                <c:pt idx="0">
                  <c:v>4.9646931015752314E-2</c:v>
                </c:pt>
                <c:pt idx="1">
                  <c:v>4.9646931015752314E-2</c:v>
                </c:pt>
                <c:pt idx="2">
                  <c:v>4.9646931015752314E-2</c:v>
                </c:pt>
                <c:pt idx="3">
                  <c:v>4.9646931015752314E-2</c:v>
                </c:pt>
                <c:pt idx="4">
                  <c:v>4.9646931015752314E-2</c:v>
                </c:pt>
                <c:pt idx="5">
                  <c:v>4.9646931015752314E-2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1-4FE9-9DDB-DFC9425CA145}"/>
            </c:ext>
          </c:extLst>
        </c:ser>
        <c:ser>
          <c:idx val="5"/>
          <c:order val="2"/>
          <c:tx>
            <c:strRef>
              <c:f>'Resume Graph 10'!$V$2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10'!$V$3:$V$8</c:f>
              <c:numCache>
                <c:formatCode>0.00000%</c:formatCode>
                <c:ptCount val="6"/>
                <c:pt idx="0">
                  <c:v>2.5523751720550145E-2</c:v>
                </c:pt>
                <c:pt idx="1">
                  <c:v>2.5523751720550145E-2</c:v>
                </c:pt>
                <c:pt idx="2">
                  <c:v>2.5523751720550145E-2</c:v>
                </c:pt>
                <c:pt idx="3">
                  <c:v>2.5523751720550145E-2</c:v>
                </c:pt>
                <c:pt idx="4">
                  <c:v>2.5523751720550145E-2</c:v>
                </c:pt>
                <c:pt idx="5">
                  <c:v>2.5523751720550145E-2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1-4FE9-9DDB-DFC9425CA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  <c:max val="1.0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Acceptance Rate (%)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15220722222222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%" sourceLinked="0"/>
        <c:majorTickMark val="cross"/>
        <c:minorTickMark val="none"/>
        <c:tickLblPos val="nextTo"/>
        <c:spPr>
          <a:noFill/>
          <a:ln w="12700" cap="sq"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 val="autoZero"/>
        <c:crossBetween val="midCat"/>
        <c:majorUnit val="0.25"/>
        <c:minorUnit val="0.1"/>
      </c:valAx>
      <c:spPr>
        <a:noFill/>
        <a:ln>
          <a:noFill/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noFill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6027131890798541"/>
          <c:y val="0.92658111111111108"/>
          <c:w val="0.7256032808399614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8125771604938276"/>
          <c:y val="3.8147191118767347E-2"/>
          <c:w val="0.706062962962963"/>
          <c:h val="0.78324666666666665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10'!$K$21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10'!$Q$22:$Q$27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6.7570243998366195E-6</c:v>
                  </c:pt>
                  <c:pt idx="3">
                    <c:v>6.8660428165646492E-2</c:v>
                  </c:pt>
                  <c:pt idx="4">
                    <c:v>7.4055855103198343E-2</c:v>
                  </c:pt>
                </c:numCache>
              </c:numRef>
            </c:plus>
            <c:minus>
              <c:numRef>
                <c:f>'Resume Graph 10'!$N$22:$N$27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6.7570243998366195E-6</c:v>
                  </c:pt>
                  <c:pt idx="3">
                    <c:v>6.8660428165646492E-2</c:v>
                  </c:pt>
                  <c:pt idx="4">
                    <c:v>7.4055855103198343E-2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10'!$K$22:$K$27</c:f>
              <c:numCache>
                <c:formatCode>0.0000000000</c:formatCode>
                <c:ptCount val="6"/>
                <c:pt idx="1">
                  <c:v>2.2702E-3</c:v>
                </c:pt>
                <c:pt idx="2">
                  <c:v>1.7123999999999997E-4</c:v>
                </c:pt>
                <c:pt idx="3">
                  <c:v>0.32818826599999995</c:v>
                </c:pt>
                <c:pt idx="4">
                  <c:v>0.36770738700000011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6-477C-9452-3078C3912E6A}"/>
            </c:ext>
          </c:extLst>
        </c:ser>
        <c:ser>
          <c:idx val="4"/>
          <c:order val="1"/>
          <c:tx>
            <c:strRef>
              <c:f>'Resume Graph 10'!$L$21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10'!$R$22:$R$27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2.9260554935101914E-5</c:v>
                  </c:pt>
                  <c:pt idx="3">
                    <c:v>1.0952224210669197</c:v>
                  </c:pt>
                  <c:pt idx="4">
                    <c:v>1.6460655950699756</c:v>
                  </c:pt>
                </c:numCache>
              </c:numRef>
            </c:plus>
            <c:minus>
              <c:numRef>
                <c:f>'Resume Graph 10'!$O$22:$O$27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2.9260554935101914E-5</c:v>
                  </c:pt>
                  <c:pt idx="3">
                    <c:v>1.0952224210669197</c:v>
                  </c:pt>
                  <c:pt idx="4">
                    <c:v>1.6460655950699756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10'!$L$22:$L$27</c:f>
              <c:numCache>
                <c:formatCode>0.0000000000</c:formatCode>
                <c:ptCount val="6"/>
                <c:pt idx="1">
                  <c:v>2.29806E-2</c:v>
                </c:pt>
                <c:pt idx="2">
                  <c:v>1.3865059999999998E-3</c:v>
                </c:pt>
                <c:pt idx="3">
                  <c:v>5.1432382090000006</c:v>
                </c:pt>
                <c:pt idx="4">
                  <c:v>8.196249642999998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6-477C-9452-3078C3912E6A}"/>
            </c:ext>
          </c:extLst>
        </c:ser>
        <c:ser>
          <c:idx val="5"/>
          <c:order val="2"/>
          <c:tx>
            <c:strRef>
              <c:f>'Resume Graph 10'!$M$21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10'!$S$22:$S$27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9.3575172097567355E-5</c:v>
                  </c:pt>
                  <c:pt idx="3">
                    <c:v>8.9422373266508259E-2</c:v>
                  </c:pt>
                  <c:pt idx="4">
                    <c:v>0.35662252945418516</c:v>
                  </c:pt>
                </c:numCache>
              </c:numRef>
            </c:plus>
            <c:minus>
              <c:numRef>
                <c:f>'Resume Graph 10'!$P$22:$P$27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9.3575172097567355E-5</c:v>
                  </c:pt>
                  <c:pt idx="3">
                    <c:v>8.9422373266508259E-2</c:v>
                  </c:pt>
                  <c:pt idx="4">
                    <c:v>0.35662252945418516</c:v>
                  </c:pt>
                </c:numCache>
              </c:numRef>
            </c:minus>
            <c:spPr>
              <a:noFill/>
              <a:ln w="25400" cap="sq" cmpd="sng" algn="ctr">
                <a:solidFill>
                  <a:sysClr val="windowText" lastClr="000000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10'!$M$22:$M$27</c:f>
              <c:numCache>
                <c:formatCode>0.0000000000</c:formatCode>
                <c:ptCount val="6"/>
                <c:pt idx="1">
                  <c:v>0.21190809999999999</c:v>
                </c:pt>
                <c:pt idx="2">
                  <c:v>1.1102568000000005E-2</c:v>
                </c:pt>
                <c:pt idx="3">
                  <c:v>39.106785873999996</c:v>
                </c:pt>
                <c:pt idx="4">
                  <c:v>67.477600288000005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6-477C-9452-3078C391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 10'!$T$21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10'!$T$22:$T$27</c:f>
              <c:numCache>
                <c:formatCode>0.0000000000</c:formatCode>
                <c:ptCount val="6"/>
                <c:pt idx="0">
                  <c:v>94.875901999999996</c:v>
                </c:pt>
                <c:pt idx="1">
                  <c:v>94.875901999999996</c:v>
                </c:pt>
                <c:pt idx="2">
                  <c:v>94.875901999999996</c:v>
                </c:pt>
                <c:pt idx="3">
                  <c:v>94.875901999999996</c:v>
                </c:pt>
                <c:pt idx="4">
                  <c:v>94.875901999999996</c:v>
                </c:pt>
                <c:pt idx="5">
                  <c:v>94.875901999999996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76-477C-9452-3078C3912E6A}"/>
            </c:ext>
          </c:extLst>
        </c:ser>
        <c:ser>
          <c:idx val="7"/>
          <c:order val="4"/>
          <c:tx>
            <c:strRef>
              <c:f>'Resume Graph 10'!$U$21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10'!$U$22:$U$27</c:f>
              <c:numCache>
                <c:formatCode>0.0000000000</c:formatCode>
                <c:ptCount val="6"/>
                <c:pt idx="0">
                  <c:v>655.08153860000004</c:v>
                </c:pt>
                <c:pt idx="1">
                  <c:v>655.08153860000004</c:v>
                </c:pt>
                <c:pt idx="2">
                  <c:v>655.08153860000004</c:v>
                </c:pt>
                <c:pt idx="3">
                  <c:v>655.08153860000004</c:v>
                </c:pt>
                <c:pt idx="4">
                  <c:v>655.08153860000004</c:v>
                </c:pt>
                <c:pt idx="5">
                  <c:v>655.08153860000004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76-477C-9452-3078C3912E6A}"/>
            </c:ext>
          </c:extLst>
        </c:ser>
        <c:ser>
          <c:idx val="8"/>
          <c:order val="5"/>
          <c:tx>
            <c:strRef>
              <c:f>'Resume Graph 10'!$V$21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cat>
            <c:multiLvlStrRef>
              <c:f>'Tempo de Execução'!#REF!</c:f>
            </c:multiLvlStrRef>
          </c:cat>
          <c:val>
            <c:numRef>
              <c:f>'Resume Graph 10'!$V$22:$V$27</c:f>
              <c:numCache>
                <c:formatCode>0.0000000000</c:formatCode>
                <c:ptCount val="6"/>
                <c:pt idx="0">
                  <c:v>3815.1011147999998</c:v>
                </c:pt>
                <c:pt idx="1">
                  <c:v>3815.1011147999998</c:v>
                </c:pt>
                <c:pt idx="2">
                  <c:v>3815.1011147999998</c:v>
                </c:pt>
                <c:pt idx="3">
                  <c:v>3815.1011147999998</c:v>
                </c:pt>
                <c:pt idx="4">
                  <c:v>3815.1011147999998</c:v>
                </c:pt>
                <c:pt idx="5">
                  <c:v>3815.1011147999998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76-477C-9452-3078C391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9.9999999999999995E-7"/>
        <c:auto val="0"/>
        <c:lblAlgn val="ctr"/>
        <c:lblOffset val="0"/>
        <c:noMultiLvlLbl val="0"/>
      </c:catAx>
      <c:valAx>
        <c:axId val="139410912"/>
        <c:scaling>
          <c:logBase val="100"/>
          <c:orientation val="minMax"/>
          <c:max val="10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Runtime (s)</a:t>
                </a:r>
              </a:p>
            </c:rich>
          </c:tx>
          <c:layout>
            <c:manualLayout>
              <c:xMode val="edge"/>
              <c:yMode val="edge"/>
              <c:x val="1.7491666666666669E-3"/>
              <c:y val="0.286262777777777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E+0" sourceLinked="0"/>
        <c:majorTickMark val="cross"/>
        <c:minorTickMark val="none"/>
        <c:tickLblPos val="low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379787836334357"/>
          <c:y val="0.92658111111111108"/>
          <c:w val="0.74086374199149718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44598765432099"/>
          <c:y val="3.8147191118767347E-2"/>
          <c:w val="0.6820222222222222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10'!$K$40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10'!$Q$41:$Q$46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13.661600478372293</c:v>
                  </c:pt>
                  <c:pt idx="3">
                    <c:v>9.0524155468960998</c:v>
                  </c:pt>
                  <c:pt idx="4">
                    <c:v>9.3353739751455578</c:v>
                  </c:pt>
                </c:numCache>
              </c:numRef>
            </c:plus>
            <c:minus>
              <c:numRef>
                <c:f>'Resume Graph 10'!$N$41:$N$46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13.661600478372293</c:v>
                  </c:pt>
                  <c:pt idx="3">
                    <c:v>9.0524155468960998</c:v>
                  </c:pt>
                  <c:pt idx="4">
                    <c:v>9.3353739751455578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10'!$K$41:$K$46</c:f>
              <c:numCache>
                <c:formatCode>0.0000000000</c:formatCode>
                <c:ptCount val="6"/>
                <c:pt idx="1">
                  <c:v>3559.3359300000002</c:v>
                </c:pt>
                <c:pt idx="2">
                  <c:v>3816.9707883999999</c:v>
                </c:pt>
                <c:pt idx="3">
                  <c:v>3470.8368077999994</c:v>
                </c:pt>
                <c:pt idx="4">
                  <c:v>3465.2804402999991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0-494C-BB8F-987A6BC41792}"/>
            </c:ext>
          </c:extLst>
        </c:ser>
        <c:ser>
          <c:idx val="4"/>
          <c:order val="1"/>
          <c:tx>
            <c:strRef>
              <c:f>'Resume Graph 10'!$L$40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10'!$R$41:$R$46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14.502122619582224</c:v>
                  </c:pt>
                  <c:pt idx="3">
                    <c:v>466.4743544657249</c:v>
                  </c:pt>
                  <c:pt idx="4">
                    <c:v>547.81264010963787</c:v>
                  </c:pt>
                </c:numCache>
              </c:numRef>
            </c:plus>
            <c:minus>
              <c:numRef>
                <c:f>'Resume Graph 10'!$O$41:$O$46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14.502122619582224</c:v>
                  </c:pt>
                  <c:pt idx="3">
                    <c:v>466.4743544657249</c:v>
                  </c:pt>
                  <c:pt idx="4">
                    <c:v>547.81264010963787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10'!$L$41:$L$46</c:f>
              <c:numCache>
                <c:formatCode>0.0000000000</c:formatCode>
                <c:ptCount val="6"/>
                <c:pt idx="1">
                  <c:v>55440.238019999997</c:v>
                </c:pt>
                <c:pt idx="2">
                  <c:v>55353.292138199991</c:v>
                </c:pt>
                <c:pt idx="3">
                  <c:v>53589.225162399998</c:v>
                </c:pt>
                <c:pt idx="4">
                  <c:v>53268.453663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0-494C-BB8F-987A6BC41792}"/>
            </c:ext>
          </c:extLst>
        </c:ser>
        <c:ser>
          <c:idx val="5"/>
          <c:order val="2"/>
          <c:tx>
            <c:strRef>
              <c:f>'Resume Graph 10'!$M$40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10'!$S$41:$S$46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48.602366542327218</c:v>
                  </c:pt>
                  <c:pt idx="3">
                    <c:v>28.95539769961033</c:v>
                  </c:pt>
                  <c:pt idx="4">
                    <c:v>34.744359118980356</c:v>
                  </c:pt>
                </c:numCache>
              </c:numRef>
            </c:plus>
            <c:minus>
              <c:numRef>
                <c:f>'Resume Graph 10'!$P$41:$P$46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48.602366542327218</c:v>
                  </c:pt>
                  <c:pt idx="3">
                    <c:v>28.95539769961033</c:v>
                  </c:pt>
                  <c:pt idx="4">
                    <c:v>34.744359118980356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10'!$M$41:$M$46</c:f>
              <c:numCache>
                <c:formatCode>0.0000000000</c:formatCode>
                <c:ptCount val="6"/>
                <c:pt idx="1">
                  <c:v>576696.82782999997</c:v>
                </c:pt>
                <c:pt idx="2">
                  <c:v>575813.63731239992</c:v>
                </c:pt>
                <c:pt idx="3">
                  <c:v>576473.6174797999</c:v>
                </c:pt>
                <c:pt idx="4">
                  <c:v>575179.31335640012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70-494C-BB8F-987A6BC4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6"/>
          <c:order val="3"/>
          <c:tx>
            <c:strRef>
              <c:f>'Resume Graph 10'!$T$40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10'!$T$41:$T$46</c:f>
              <c:numCache>
                <c:formatCode>0.0000000000</c:formatCode>
                <c:ptCount val="6"/>
                <c:pt idx="0">
                  <c:v>3504.9152199999999</c:v>
                </c:pt>
                <c:pt idx="1">
                  <c:v>3504.9152199999999</c:v>
                </c:pt>
                <c:pt idx="2">
                  <c:v>3504.9152199999999</c:v>
                </c:pt>
                <c:pt idx="3">
                  <c:v>3504.9152199999999</c:v>
                </c:pt>
                <c:pt idx="4">
                  <c:v>3504.9152199999999</c:v>
                </c:pt>
                <c:pt idx="5">
                  <c:v>3504.9152199999999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0-494C-BB8F-987A6BC41792}"/>
            </c:ext>
          </c:extLst>
        </c:ser>
        <c:ser>
          <c:idx val="7"/>
          <c:order val="4"/>
          <c:tx>
            <c:strRef>
              <c:f>'Resume Graph 10'!$U$40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10'!$U$41:$U$46</c:f>
              <c:numCache>
                <c:formatCode>0.0000000000</c:formatCode>
                <c:ptCount val="6"/>
                <c:pt idx="0">
                  <c:v>55314.036419999997</c:v>
                </c:pt>
                <c:pt idx="1">
                  <c:v>55314.036419999997</c:v>
                </c:pt>
                <c:pt idx="2">
                  <c:v>55314.036419999997</c:v>
                </c:pt>
                <c:pt idx="3">
                  <c:v>55314.036419999997</c:v>
                </c:pt>
                <c:pt idx="4">
                  <c:v>55314.036419999997</c:v>
                </c:pt>
                <c:pt idx="5">
                  <c:v>55314.036419999997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70-494C-BB8F-987A6BC41792}"/>
            </c:ext>
          </c:extLst>
        </c:ser>
        <c:ser>
          <c:idx val="8"/>
          <c:order val="5"/>
          <c:tx>
            <c:strRef>
              <c:f>'Resume Graph 10'!$V$40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chemeClr val="bg1">
                  <a:lumMod val="50000"/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10'!$V$41:$V$46</c:f>
              <c:numCache>
                <c:formatCode>0.0000000000</c:formatCode>
                <c:ptCount val="6"/>
                <c:pt idx="0">
                  <c:v>574009.13060999999</c:v>
                </c:pt>
                <c:pt idx="1">
                  <c:v>574009.13060999999</c:v>
                </c:pt>
                <c:pt idx="2">
                  <c:v>574009.13060999999</c:v>
                </c:pt>
                <c:pt idx="3">
                  <c:v>574009.13060999999</c:v>
                </c:pt>
                <c:pt idx="4">
                  <c:v>574009.13060999999</c:v>
                </c:pt>
                <c:pt idx="5">
                  <c:v>574009.13060999999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70-494C-BB8F-987A6BC4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Total Cost</a:t>
                </a:r>
                <a:r>
                  <a:rPr lang="pt-BR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(€)</a:t>
                </a:r>
                <a:endParaRPr lang="pt-BR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491666666666669E-3"/>
              <c:y val="0.25804055555555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732114219215353"/>
          <c:y val="0.9265810808963264"/>
          <c:w val="0.74106872163371695"/>
          <c:h val="6.97588888888888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451944444444443"/>
          <c:y val="4.0042202429315769E-2"/>
          <c:w val="0.71791759259259258"/>
          <c:h val="0.7909689238888205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'Resume Graph 10'!$K$59</c:f>
              <c:strCache>
                <c:ptCount val="1"/>
                <c:pt idx="0">
                  <c:v>10²</c:v>
                </c:pt>
              </c:strCache>
            </c:strRef>
          </c:tx>
          <c:spPr>
            <a:solidFill>
              <a:srgbClr val="15608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10'!$Q$60:$Q$65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1.7381941478560634</c:v>
                  </c:pt>
                  <c:pt idx="3">
                    <c:v>1.2636123073046974</c:v>
                  </c:pt>
                  <c:pt idx="4">
                    <c:v>1.737360589337527</c:v>
                  </c:pt>
                </c:numCache>
              </c:numRef>
            </c:plus>
            <c:minus>
              <c:numRef>
                <c:f>'Resume Graph 10'!$N$60:$N$65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1.7381941478560634</c:v>
                  </c:pt>
                  <c:pt idx="3">
                    <c:v>1.2636123073046974</c:v>
                  </c:pt>
                  <c:pt idx="4">
                    <c:v>1.737360589337527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10'!$K$60:$K$65</c:f>
              <c:numCache>
                <c:formatCode>0.0000000000</c:formatCode>
                <c:ptCount val="6"/>
                <c:pt idx="1">
                  <c:v>214.81287499999999</c:v>
                </c:pt>
                <c:pt idx="2">
                  <c:v>213.66835075999995</c:v>
                </c:pt>
                <c:pt idx="3">
                  <c:v>184.04933973000004</c:v>
                </c:pt>
                <c:pt idx="4">
                  <c:v>208.29263733000005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6-4E94-8042-A6A2963C4AC2}"/>
            </c:ext>
          </c:extLst>
        </c:ser>
        <c:ser>
          <c:idx val="4"/>
          <c:order val="1"/>
          <c:tx>
            <c:strRef>
              <c:f>'Resume Graph 10'!$L$59</c:f>
              <c:strCache>
                <c:ptCount val="1"/>
                <c:pt idx="0">
                  <c:v>10³</c:v>
                </c:pt>
              </c:strCache>
            </c:strRef>
          </c:tx>
          <c:spPr>
            <a:solidFill>
              <a:srgbClr val="E9713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10'!$R$60:$R$65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1.4089423104390733</c:v>
                  </c:pt>
                  <c:pt idx="3">
                    <c:v>2.5409224332914846</c:v>
                  </c:pt>
                  <c:pt idx="4">
                    <c:v>5.3885601914245456</c:v>
                  </c:pt>
                </c:numCache>
              </c:numRef>
            </c:plus>
            <c:minus>
              <c:numRef>
                <c:f>'Resume Graph 10'!$O$60:$O$65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1.4089423104390733</c:v>
                  </c:pt>
                  <c:pt idx="3">
                    <c:v>2.5409224332914846</c:v>
                  </c:pt>
                  <c:pt idx="4">
                    <c:v>5.3885601914245456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10'!$L$60:$L$65</c:f>
              <c:numCache>
                <c:formatCode>0.0000000000</c:formatCode>
                <c:ptCount val="6"/>
                <c:pt idx="1">
                  <c:v>203.406711</c:v>
                </c:pt>
                <c:pt idx="2">
                  <c:v>194.55707678000002</c:v>
                </c:pt>
                <c:pt idx="3">
                  <c:v>173.86866466999999</c:v>
                </c:pt>
                <c:pt idx="4">
                  <c:v>183.10107070999999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6-4E94-8042-A6A2963C4AC2}"/>
            </c:ext>
          </c:extLst>
        </c:ser>
        <c:ser>
          <c:idx val="5"/>
          <c:order val="2"/>
          <c:tx>
            <c:strRef>
              <c:f>'Resume Graph 10'!$M$59</c:f>
              <c:strCache>
                <c:ptCount val="1"/>
                <c:pt idx="0">
                  <c:v>10⁴</c:v>
                </c:pt>
              </c:strCache>
            </c:strRef>
          </c:tx>
          <c:spPr>
            <a:solidFill>
              <a:srgbClr val="196B2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'Resume Graph 10'!$S$60:$S$65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0.91434252956941009</c:v>
                  </c:pt>
                  <c:pt idx="3">
                    <c:v>1.4339677011606113</c:v>
                  </c:pt>
                  <c:pt idx="4">
                    <c:v>1.2411661910578289</c:v>
                  </c:pt>
                </c:numCache>
              </c:numRef>
            </c:plus>
            <c:minus>
              <c:numRef>
                <c:f>'Resume Graph 10'!$P$60:$P$65</c:f>
                <c:numCache>
                  <c:formatCode>General</c:formatCode>
                  <c:ptCount val="6"/>
                  <c:pt idx="1">
                    <c:v>0</c:v>
                  </c:pt>
                  <c:pt idx="2">
                    <c:v>0.91434252956941009</c:v>
                  </c:pt>
                  <c:pt idx="3">
                    <c:v>1.4339677011606113</c:v>
                  </c:pt>
                  <c:pt idx="4">
                    <c:v>1.2411661910578289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Lit>
              <c:ptCount val="6"/>
              <c:pt idx="1">
                <c:v>GRA</c:v>
              </c:pt>
              <c:pt idx="2">
                <c:v>RRA</c:v>
              </c:pt>
              <c:pt idx="3">
                <c:v>SAG</c:v>
              </c:pt>
              <c:pt idx="4">
                <c:v>SAR</c:v>
              </c:pt>
            </c:strLit>
          </c:cat>
          <c:val>
            <c:numRef>
              <c:f>'Resume Graph 10'!$M$60:$M$65</c:f>
              <c:numCache>
                <c:formatCode>0.0000000000</c:formatCode>
                <c:ptCount val="6"/>
                <c:pt idx="1">
                  <c:v>203.10889499999999</c:v>
                </c:pt>
                <c:pt idx="2">
                  <c:v>172.57158922000002</c:v>
                </c:pt>
                <c:pt idx="3">
                  <c:v>195.17000895999993</c:v>
                </c:pt>
                <c:pt idx="4">
                  <c:v>169.70836320000001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6-4E94-8042-A6A2963C4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139406112"/>
        <c:axId val="139410912"/>
      </c:barChart>
      <c:lineChart>
        <c:grouping val="standard"/>
        <c:varyColors val="0"/>
        <c:ser>
          <c:idx val="0"/>
          <c:order val="3"/>
          <c:tx>
            <c:strRef>
              <c:f>'Resume Graph 10'!$T$59</c:f>
              <c:strCache>
                <c:ptCount val="1"/>
                <c:pt idx="0">
                  <c:v>ILP_10²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1.437226195394257E-16"/>
                  <c:y val="-0.19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noFill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C6-4E94-8042-A6A2963C4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'Resume Graph 10'!$T$60:$T$65</c:f>
              <c:numCache>
                <c:formatCode>0.0000000000</c:formatCode>
                <c:ptCount val="6"/>
                <c:pt idx="0">
                  <c:v>168.152759</c:v>
                </c:pt>
                <c:pt idx="1">
                  <c:v>168.152759</c:v>
                </c:pt>
                <c:pt idx="2">
                  <c:v>168.152759</c:v>
                </c:pt>
                <c:pt idx="3">
                  <c:v>168.152759</c:v>
                </c:pt>
                <c:pt idx="4">
                  <c:v>168.152759</c:v>
                </c:pt>
                <c:pt idx="5">
                  <c:v>168.152759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C6-4E94-8042-A6A2963C4AC2}"/>
            </c:ext>
          </c:extLst>
        </c:ser>
        <c:ser>
          <c:idx val="1"/>
          <c:order val="4"/>
          <c:tx>
            <c:strRef>
              <c:f>'Resume Graph 10'!$U$59</c:f>
              <c:strCache>
                <c:ptCount val="1"/>
                <c:pt idx="0">
                  <c:v>ILP_10³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val>
            <c:numRef>
              <c:f>'Resume Graph 10'!$U$60:$U$65</c:f>
              <c:numCache>
                <c:formatCode>0.0000000000</c:formatCode>
                <c:ptCount val="6"/>
                <c:pt idx="0">
                  <c:v>152.76427699999999</c:v>
                </c:pt>
                <c:pt idx="1">
                  <c:v>152.76427699999999</c:v>
                </c:pt>
                <c:pt idx="2">
                  <c:v>152.76427699999999</c:v>
                </c:pt>
                <c:pt idx="3">
                  <c:v>152.76427699999999</c:v>
                </c:pt>
                <c:pt idx="4">
                  <c:v>152.76427699999999</c:v>
                </c:pt>
                <c:pt idx="5">
                  <c:v>152.76427699999999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C6-4E94-8042-A6A2963C4AC2}"/>
            </c:ext>
          </c:extLst>
        </c:ser>
        <c:ser>
          <c:idx val="2"/>
          <c:order val="5"/>
          <c:tx>
            <c:strRef>
              <c:f>'Resume Graph 10'!$V$59</c:f>
              <c:strCache>
                <c:ptCount val="1"/>
                <c:pt idx="0">
                  <c:v>ILP_10⁴</c:v>
                </c:pt>
              </c:strCache>
            </c:strRef>
          </c:tx>
          <c:spPr>
            <a:ln w="25400" cap="sq">
              <a:solidFill>
                <a:sysClr val="window" lastClr="FFFFFF">
                  <a:lumMod val="50000"/>
                  <a:alpha val="50000"/>
                </a:sysClr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1.3719135802469137E-2"/>
                  <c:y val="0.253999999999999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noFill/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6204938271604937E-2"/>
                      <c:h val="0.176177222222222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96C6-4E94-8042-A6A2963C4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'Resume Graph 10'!$V$60:$V$65</c:f>
              <c:numCache>
                <c:formatCode>0.0000000000</c:formatCode>
                <c:ptCount val="6"/>
                <c:pt idx="0">
                  <c:v>112.676382</c:v>
                </c:pt>
                <c:pt idx="1">
                  <c:v>112.676382</c:v>
                </c:pt>
                <c:pt idx="2">
                  <c:v>112.676382</c:v>
                </c:pt>
                <c:pt idx="3">
                  <c:v>112.676382</c:v>
                </c:pt>
                <c:pt idx="4">
                  <c:v>112.676382</c:v>
                </c:pt>
                <c:pt idx="5">
                  <c:v>112.676382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C6-4E94-8042-A6A2963C4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06112"/>
        <c:axId val="139410912"/>
      </c:lineChart>
      <c:catAx>
        <c:axId val="1394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10912"/>
        <c:crossesAt val="0"/>
        <c:auto val="0"/>
        <c:lblAlgn val="ctr"/>
        <c:lblOffset val="0"/>
        <c:noMultiLvlLbl val="0"/>
      </c:catAx>
      <c:valAx>
        <c:axId val="139410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b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Average </a:t>
                </a:r>
                <a:r>
                  <a:rPr lang="pt-BR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Delay (ms)</a:t>
                </a:r>
                <a:endParaRPr lang="pt-BR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7680555555555555E-3"/>
              <c:y val="0.17916166666666666"/>
            </c:manualLayout>
          </c:layout>
          <c:overlay val="0"/>
          <c:spPr>
            <a:noFill/>
            <a:ln w="6350">
              <a:noFill/>
            </a:ln>
            <a:effectLst/>
          </c:spPr>
          <c:txPr>
            <a:bodyPr rot="-5400000" spcFirstLastPara="1" vertOverflow="ellipsis" vert="horz" wrap="square" anchor="b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12700" cap="sq"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39406112"/>
        <c:crossesAt val="1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14521757510179914"/>
          <c:y val="0.9265810808963264"/>
          <c:w val="0.72085073145603917"/>
          <c:h val="7.3418999708369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</xdr:row>
          <xdr:rowOff>47625</xdr:rowOff>
        </xdr:from>
        <xdr:to>
          <xdr:col>1</xdr:col>
          <xdr:colOff>1571625</xdr:colOff>
          <xdr:row>6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Gerar Resumo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189368</xdr:colOff>
      <xdr:row>6</xdr:row>
      <xdr:rowOff>90277</xdr:rowOff>
    </xdr:from>
    <xdr:to>
      <xdr:col>28</xdr:col>
      <xdr:colOff>317868</xdr:colOff>
      <xdr:row>17</xdr:row>
      <xdr:rowOff>74177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BADE39A-D39D-419F-964C-1D1200AF9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288698</xdr:colOff>
      <xdr:row>23</xdr:row>
      <xdr:rowOff>97517</xdr:rowOff>
    </xdr:from>
    <xdr:to>
      <xdr:col>28</xdr:col>
      <xdr:colOff>417198</xdr:colOff>
      <xdr:row>34</xdr:row>
      <xdr:rowOff>81417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7AFF623-B42B-4B9F-A165-41D0D1159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188684</xdr:colOff>
      <xdr:row>42</xdr:row>
      <xdr:rowOff>92301</xdr:rowOff>
    </xdr:from>
    <xdr:to>
      <xdr:col>28</xdr:col>
      <xdr:colOff>317184</xdr:colOff>
      <xdr:row>53</xdr:row>
      <xdr:rowOff>76201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D3B8CE-2598-411F-AB6A-A0DB3B222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499712</xdr:colOff>
      <xdr:row>61</xdr:row>
      <xdr:rowOff>135163</xdr:rowOff>
    </xdr:from>
    <xdr:to>
      <xdr:col>29</xdr:col>
      <xdr:colOff>9087</xdr:colOff>
      <xdr:row>72</xdr:row>
      <xdr:rowOff>122238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11A44CD-F578-40F1-B1E3-407181879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0.9074</cdr:x>
      <cdr:y>0.3533</cdr:y>
    </cdr:from>
    <cdr:to>
      <cdr:x>1</cdr:x>
      <cdr:y>0.43817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623603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623603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ILP_3^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0.42522</cdr:y>
    </cdr:from>
    <cdr:to>
      <cdr:x>1</cdr:x>
      <cdr:y>0.51008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750537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750537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ILP_1^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0.50096</cdr:y>
    </cdr:from>
    <cdr:to>
      <cdr:x>1</cdr:x>
      <cdr:y>0.58583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607A4142-F8D7-D834-5F2D-D7B45DF06411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884238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607A4142-F8D7-D834-5F2D-D7B45DF06411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884238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ILP_2^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0.9074</cdr:x>
      <cdr:y>0.13401</cdr:y>
    </cdr:from>
    <cdr:to>
      <cdr:x>1</cdr:x>
      <cdr:y>0.21888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71FD8F9B-9831-355A-9D02-9D7ED1D9DCDF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36538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71FD8F9B-9831-355A-9D02-9D7ED1D9DCDF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36538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ILP_1^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</cdr:y>
    </cdr:from>
    <cdr:to>
      <cdr:x>1</cdr:x>
      <cdr:y>0.08487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076E9E7-79CC-3EF4-011C-E82498AA0BCC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0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076E9E7-79CC-3EF4-011C-E82498AA0BCC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0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ILP_3^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0.06656</cdr:y>
    </cdr:from>
    <cdr:to>
      <cdr:x>1</cdr:x>
      <cdr:y>0.15142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E6461BEC-1A82-D8A5-0CD6-DB6426A8B999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17475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E6461BEC-1A82-D8A5-0CD6-DB6426A8B999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17475"/>
              <a:ext cx="298554" cy="14980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ILP_2^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0.9074</cdr:x>
      <cdr:y>0</cdr:y>
    </cdr:from>
    <cdr:to>
      <cdr:x>1</cdr:x>
      <cdr:y>0.08487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0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0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ILP_3^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0.06745</cdr:y>
    </cdr:from>
    <cdr:to>
      <cdr:x>1</cdr:x>
      <cdr:y>0.15232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19062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19062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ILP_2^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0.13941</cdr:y>
    </cdr:from>
    <cdr:to>
      <cdr:x>1</cdr:x>
      <cdr:y>0.22428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18345BF-A412-F54E-F534-2FEF7E0B5CFE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46062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18345BF-A412-F54E-F534-2FEF7E0B5CFE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46062"/>
              <a:ext cx="298554" cy="14980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ILP_1^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0.9074</cdr:x>
      <cdr:y>0.2213</cdr:y>
    </cdr:from>
    <cdr:to>
      <cdr:x>1</cdr:x>
      <cdr:y>0.30617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391312"/>
              <a:ext cx="298554" cy="15007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391312"/>
              <a:ext cx="298554" cy="15007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ILP_1^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0.08727</cdr:y>
    </cdr:from>
    <cdr:to>
      <cdr:x>1</cdr:x>
      <cdr:y>0.17214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54313"/>
              <a:ext cx="298554" cy="15007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154313"/>
              <a:ext cx="298554" cy="15007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ILP_2^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0.15263</cdr:y>
    </cdr:from>
    <cdr:to>
      <cdr:x>1</cdr:x>
      <cdr:y>0.2375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6E40AEE1-15F4-3E2C-AAE2-0F083B60CEEC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69881"/>
              <a:ext cx="298554" cy="15007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6E40AEE1-15F4-3E2C-AAE2-0F083B60CEEC}"/>
                </a:ext>
              </a:extLst>
            </cdr:cNvPr>
            <cdr:cNvSpPr txBox="1"/>
          </cdr:nvSpPr>
          <cdr:spPr>
            <a:xfrm xmlns:a="http://schemas.openxmlformats.org/drawingml/2006/main">
              <a:off x="2925571" y="269881"/>
              <a:ext cx="298554" cy="150071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ILP_3^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170318</xdr:colOff>
      <xdr:row>6</xdr:row>
      <xdr:rowOff>20427</xdr:rowOff>
    </xdr:from>
    <xdr:to>
      <xdr:col>28</xdr:col>
      <xdr:colOff>298818</xdr:colOff>
      <xdr:row>17</xdr:row>
      <xdr:rowOff>4327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E63E37-8006-43F3-B53D-1A489D83F7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293460</xdr:colOff>
      <xdr:row>24</xdr:row>
      <xdr:rowOff>49892</xdr:rowOff>
    </xdr:from>
    <xdr:to>
      <xdr:col>28</xdr:col>
      <xdr:colOff>421960</xdr:colOff>
      <xdr:row>35</xdr:row>
      <xdr:rowOff>33792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D563A3D-45EE-47E6-A044-0C390C5DC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23</xdr:col>
      <xdr:colOff>163284</xdr:colOff>
      <xdr:row>42</xdr:row>
      <xdr:rowOff>41501</xdr:rowOff>
    </xdr:from>
    <xdr:to>
      <xdr:col>28</xdr:col>
      <xdr:colOff>291784</xdr:colOff>
      <xdr:row>53</xdr:row>
      <xdr:rowOff>25401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EAE0408-83AA-4348-984C-E0B6E3057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490187</xdr:colOff>
      <xdr:row>62</xdr:row>
      <xdr:rowOff>1813</xdr:rowOff>
    </xdr:from>
    <xdr:to>
      <xdr:col>28</xdr:col>
      <xdr:colOff>618687</xdr:colOff>
      <xdr:row>72</xdr:row>
      <xdr:rowOff>150813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3BCC40C-6C0C-4788-A4D5-022D4B72D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0.9074</cdr:x>
      <cdr:y>0.68248</cdr:y>
    </cdr:from>
    <cdr:to>
      <cdr:x>1</cdr:x>
      <cdr:y>0.76735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228466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377427C-9DC2-D7FD-FCED-42786C739780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228466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0.4468</cdr:y>
    </cdr:from>
    <cdr:to>
      <cdr:x>1</cdr:x>
      <cdr:y>0.53167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8042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8F866777-BFC7-3277-DB9A-897F7B67633F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8042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0.04219</cdr:y>
    </cdr:from>
    <cdr:to>
      <cdr:x>1</cdr:x>
      <cdr:y>0.12706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DE68A8F-B93B-9310-56D3-4BB354FEDAA5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59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DE68A8F-B93B-9310-56D3-4BB354FEDAA5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594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0.9074</cdr:x>
      <cdr:y>0.18344</cdr:y>
    </cdr:from>
    <cdr:to>
      <cdr:x>1</cdr:x>
      <cdr:y>0.26831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A098869-65DD-C20B-6F03-03A77AB50FB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302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4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DA098869-65DD-C20B-6F03-03A77AB50FB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302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0.08467</cdr:y>
    </cdr:from>
    <cdr:to>
      <cdr:x>1</cdr:x>
      <cdr:y>0.16954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7515B85-73E1-CAD4-B2C5-444B0DFE0DCC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524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7515B85-73E1-CAD4-B2C5-444B0DFE0DCC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524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</cdr:y>
    </cdr:from>
    <cdr:to>
      <cdr:x>1</cdr:x>
      <cdr:y>0.08487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9AD806E3-A186-5CCA-2184-5610E2612C9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9AD806E3-A186-5CCA-2184-5610E2612C93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0.9074</cdr:x>
      <cdr:y>0.39864</cdr:y>
    </cdr:from>
    <cdr:to>
      <cdr:x>1</cdr:x>
      <cdr:y>0.48351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1755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5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71755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0.14112</cdr:y>
    </cdr:from>
    <cdr:to>
      <cdr:x>1</cdr:x>
      <cdr:y>0.22599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25400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6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254008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0.02116</cdr:y>
    </cdr:from>
    <cdr:to>
      <cdr:x>1</cdr:x>
      <cdr:y>0.10603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809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38094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0.9074</cdr:x>
      <cdr:y>0.05644</cdr:y>
    </cdr:from>
    <cdr:to>
      <cdr:x>1</cdr:x>
      <cdr:y>0.14131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016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2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B157BD70-ED23-4E98-3F24-821FFD329A72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1016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ILP_(10^1)^∗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0.27517</cdr:y>
    </cdr:from>
    <cdr:to>
      <cdr:x>1</cdr:x>
      <cdr:y>0.36004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4953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3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1876F3B1-0A4D-D4F9-E0D7-E3C355F27684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49530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ILP_(10^2)^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0.9074</cdr:x>
      <cdr:y>0.53975</cdr:y>
    </cdr:from>
    <cdr:to>
      <cdr:x>1</cdr:x>
      <cdr:y>0.62462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97155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pt-BR" sz="10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m:rPr>
                            <m:sty m:val="p"/>
                          </m:rPr>
                          <a:rPr lang="pt-BR" sz="10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ILP</m:t>
                        </m:r>
                      </m:e>
                      <m:sub>
                        <m:sSup>
                          <m:sSupPr>
                            <m:ctrlP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pt-BR" sz="10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</m:sub>
                      <m:sup>
                        <m:r>
                          <a:rPr lang="pt-BR" sz="1000" b="0" i="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</m:sup>
                    </m:sSubSup>
                  </m:oMath>
                </m:oMathPara>
              </a14:m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Choice>
      <mc:Fallback xmlns="">
        <cdr:sp macro="" textlink="">
          <cdr:nvSpPr>
            <cdr:cNvPr id="7" name="CaixaDeTexto 1">
              <a:extLst xmlns:a="http://schemas.openxmlformats.org/drawingml/2006/main">
                <a:ext uri="{FF2B5EF4-FFF2-40B4-BE49-F238E27FC236}">
                  <a16:creationId xmlns:a16="http://schemas.microsoft.com/office/drawing/2014/main" id="{4B7B8B00-DA6E-26DC-2AD7-8B61338724BA}"/>
                </a:ext>
              </a:extLst>
            </cdr:cNvPr>
            <cdr:cNvSpPr txBox="1"/>
          </cdr:nvSpPr>
          <cdr:spPr>
            <a:xfrm xmlns:a="http://schemas.openxmlformats.org/drawingml/2006/main">
              <a:off x="2939976" y="971550"/>
              <a:ext cx="300024" cy="152766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ctr" anchorCtr="1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t-BR" sz="10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ILP_(10^3)^ </a:t>
              </a:r>
              <a:endParaRPr lang="pt-BR" sz="1000" i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cdr:txBody>
        </cdr:sp>
      </mc:Fallback>
    </mc:AlternateContent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482D82FA-A00A-4B9C-89A9-9214D2C3FFCB}" autoFormatId="16" applyNumberFormats="0" applyBorderFormats="0" applyFontFormats="0" applyPatternFormats="0" applyAlignmentFormats="0" applyWidthHeightFormats="0">
  <queryTableRefresh nextId="23">
    <queryTableFields count="22">
      <queryTableField id="1" name="Algorithm" tableColumnId="1"/>
      <queryTableField id="2" name="Tech" tableColumnId="2"/>
      <queryTableField id="3" name="ExeTime" tableColumnId="3"/>
      <queryTableField id="4" name="Devices" tableColumnId="4"/>
      <queryTableField id="5" name="DCovered" tableColumnId="5"/>
      <queryTableField id="6" name="DServed" tableColumnId="6"/>
      <queryTableField id="7" name="DServedEC" tableColumnId="7"/>
      <queryTableField id="8" name="DServedCC" tableColumnId="8"/>
      <queryTableField id="9" name="Servers" tableColumnId="9"/>
      <queryTableField id="10" name="SUsed" tableColumnId="10"/>
      <queryTableField id="11" name="SUsedEC" tableColumnId="11"/>
      <queryTableField id="12" name="SUsedCC" tableColumnId="12"/>
      <queryTableField id="13" name="TotalCost" tableColumnId="13"/>
      <queryTableField id="14" name="CostNCoverage" tableColumnId="14"/>
      <queryTableField id="15" name="CostNService" tableColumnId="15"/>
      <queryTableField id="16" name="CostS" tableColumnId="16"/>
      <queryTableField id="17" name="Avg.RTime" tableColumnId="17"/>
      <queryTableField id="18" name="TotalSteps" tableColumnId="18"/>
      <queryTableField id="19" name="Status" tableColumnId="19"/>
      <queryTableField id="20" name="OF" tableColumnId="20"/>
      <queryTableField id="21" name="GAP" tableColumnId="21"/>
      <queryTableField id="22" name="Atendimento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5" xr16:uid="{BE8B5FAD-8FDD-4362-85BF-12D10C5E882F}" autoFormatId="16" applyNumberFormats="0" applyBorderFormats="0" applyFontFormats="0" applyPatternFormats="0" applyAlignmentFormats="0" applyWidthHeightFormats="0">
  <queryTableRefresh nextId="20">
    <queryTableFields count="19">
      <queryTableField id="1" name="Algorithm" tableColumnId="1"/>
      <queryTableField id="2" name="Tech" tableColumnId="2"/>
      <queryTableField id="3" name="ExeTime" tableColumnId="3"/>
      <queryTableField id="4" name="Devices" tableColumnId="4"/>
      <queryTableField id="5" name="DCovered" tableColumnId="5"/>
      <queryTableField id="6" name="DServed" tableColumnId="6"/>
      <queryTableField id="7" name="DServedEC" tableColumnId="7"/>
      <queryTableField id="8" name="DServedCC" tableColumnId="8"/>
      <queryTableField id="9" name="Servers" tableColumnId="9"/>
      <queryTableField id="10" name="SUsed" tableColumnId="10"/>
      <queryTableField id="11" name="SUsedEC" tableColumnId="11"/>
      <queryTableField id="12" name="SUsedCC" tableColumnId="12"/>
      <queryTableField id="13" name="TotalCost" tableColumnId="13"/>
      <queryTableField id="14" name="CostNCoverage" tableColumnId="14"/>
      <queryTableField id="15" name="CostNService" tableColumnId="15"/>
      <queryTableField id="16" name="CostS" tableColumnId="16"/>
      <queryTableField id="17" name="Avg.RTime" tableColumnId="17"/>
      <queryTableField id="18" name="TotalSteps" tableColumnId="18"/>
      <queryTableField id="19" name="Atendimento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6" xr16:uid="{2F1FC03A-CF9D-47A3-8132-FA407FA5990C}" autoFormatId="16" applyNumberFormats="0" applyBorderFormats="0" applyFontFormats="0" applyPatternFormats="0" applyAlignmentFormats="0" applyWidthHeightFormats="0">
  <queryTableRefresh nextId="22">
    <queryTableFields count="21">
      <queryTableField id="1" name="Algorithm" tableColumnId="1"/>
      <queryTableField id="2" name="Tech" tableColumnId="2"/>
      <queryTableField id="3" name="ExeTime" tableColumnId="3"/>
      <queryTableField id="4" name="Devices" tableColumnId="4"/>
      <queryTableField id="5" name="DCovered" tableColumnId="5"/>
      <queryTableField id="6" name="DServed" tableColumnId="6"/>
      <queryTableField id="7" name="DServedEC" tableColumnId="7"/>
      <queryTableField id="8" name="DServedCC" tableColumnId="8"/>
      <queryTableField id="9" name="Servers" tableColumnId="9"/>
      <queryTableField id="10" name="SUsed" tableColumnId="10"/>
      <queryTableField id="11" name="SUsedEC" tableColumnId="11"/>
      <queryTableField id="12" name="SUsedCC" tableColumnId="12"/>
      <queryTableField id="13" name="TotalCost" tableColumnId="13"/>
      <queryTableField id="14" name="CostNCoverage" tableColumnId="14"/>
      <queryTableField id="15" name="CostNService" tableColumnId="15"/>
      <queryTableField id="16" name="CostS" tableColumnId="16"/>
      <queryTableField id="17" name="Avg.RTime" tableColumnId="17"/>
      <queryTableField id="18" name="TotalSteps" tableColumnId="18"/>
      <queryTableField id="19" name="Temperature" tableColumnId="19"/>
      <queryTableField id="20" name="Alpha" tableColumnId="20"/>
      <queryTableField id="21" name="Atendimento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FC7B36-B2C4-47CE-8FC4-F1037FAD661A}" name="Exact" displayName="Exact" ref="A1:V6" tableType="queryTable" totalsRowShown="0">
  <autoFilter ref="A1:V6" xr:uid="{0BFC7B36-B2C4-47CE-8FC4-F1037FAD661A}"/>
  <sortState xmlns:xlrd2="http://schemas.microsoft.com/office/spreadsheetml/2017/richdata2" ref="A2:V6">
    <sortCondition ref="D1:D6"/>
  </sortState>
  <tableColumns count="22">
    <tableColumn id="1" xr3:uid="{41D6D64E-A111-4981-AEFA-064D3DC39B5D}" uniqueName="1" name="Algorithm" queryTableFieldId="1" dataDxfId="3"/>
    <tableColumn id="2" xr3:uid="{A35F1E75-B655-4B2D-8520-FBFED24E08F1}" uniqueName="2" name="Tech" queryTableFieldId="2"/>
    <tableColumn id="3" xr3:uid="{4C5090A4-A8F6-4011-907F-B50F1191BC15}" uniqueName="3" name="ExeTime" queryTableFieldId="3"/>
    <tableColumn id="4" xr3:uid="{7C5EFB90-81A0-489C-8951-0F8CD8964DD0}" uniqueName="4" name="Devices" queryTableFieldId="4"/>
    <tableColumn id="5" xr3:uid="{FF78009A-8583-4E8E-8FBD-E9999B884820}" uniqueName="5" name="DCovered" queryTableFieldId="5"/>
    <tableColumn id="6" xr3:uid="{4A822E09-FA6C-472C-89A3-C3878B460F39}" uniqueName="6" name="DServed" queryTableFieldId="6"/>
    <tableColumn id="7" xr3:uid="{9E125181-B802-433C-9281-28D98EDAD97B}" uniqueName="7" name="DServedEC" queryTableFieldId="7"/>
    <tableColumn id="8" xr3:uid="{B6262BC4-42D0-4B4A-B0DE-0787F2AA58EC}" uniqueName="8" name="DServedCC" queryTableFieldId="8"/>
    <tableColumn id="9" xr3:uid="{98036B10-CDAD-425A-8942-CDCD325D99F6}" uniqueName="9" name="Servers" queryTableFieldId="9"/>
    <tableColumn id="10" xr3:uid="{998F20C3-7DFF-49BD-AFBE-6DF5B0C9A37C}" uniqueName="10" name="SUsed" queryTableFieldId="10"/>
    <tableColumn id="11" xr3:uid="{6E45B8FC-594E-4545-82E8-3F0B3AB62D73}" uniqueName="11" name="SUsedEC" queryTableFieldId="11"/>
    <tableColumn id="12" xr3:uid="{4C34F5EA-96C2-4DBE-9B79-F18682E55C5F}" uniqueName="12" name="SUsedCC" queryTableFieldId="12"/>
    <tableColumn id="13" xr3:uid="{D5CC947E-0908-4D2B-8DD3-6514A6A8AA17}" uniqueName="13" name="TotalCost" queryTableFieldId="13"/>
    <tableColumn id="14" xr3:uid="{54410889-1E1F-4CBB-BAAA-1CF43DCB7FBB}" uniqueName="14" name="CostNCoverage" queryTableFieldId="14"/>
    <tableColumn id="15" xr3:uid="{6497F5E9-B646-4B14-BAD7-427D1C98A90C}" uniqueName="15" name="CostNService" queryTableFieldId="15"/>
    <tableColumn id="16" xr3:uid="{28402C8E-C883-484B-8614-3D5D8E14AD6B}" uniqueName="16" name="CostS" queryTableFieldId="16"/>
    <tableColumn id="17" xr3:uid="{7F3B8583-4B89-4CD6-AF02-92144B9F1C6A}" uniqueName="17" name="Avg.RTime" queryTableFieldId="17"/>
    <tableColumn id="18" xr3:uid="{7244D288-263A-441E-8CAD-5D61E2859CD1}" uniqueName="18" name="TotalSteps" queryTableFieldId="18"/>
    <tableColumn id="19" xr3:uid="{D3E8465F-DF5B-4B60-9EBD-CE9ED2150662}" uniqueName="19" name="Status" queryTableFieldId="19" dataDxfId="2"/>
    <tableColumn id="20" xr3:uid="{751E223A-82AC-47E3-902A-1F87D5800FAA}" uniqueName="20" name="OF" queryTableFieldId="20"/>
    <tableColumn id="21" xr3:uid="{97D4956C-0920-4EC8-8266-B757BFC000EC}" uniqueName="21" name="GAP" queryTableFieldId="21"/>
    <tableColumn id="22" xr3:uid="{B2F1CE1F-43C7-4AAF-9428-47E5528E4F15}" uniqueName="22" name="Atendimento" queryTableField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8318AC-A5DD-4F32-9E71-D7F65891D105}" name="Heuristic" displayName="Heuristic" ref="A1:S181" tableType="queryTable" totalsRowShown="0">
  <autoFilter ref="A1:S181" xr:uid="{418318AC-A5DD-4F32-9E71-D7F65891D105}"/>
  <sortState xmlns:xlrd2="http://schemas.microsoft.com/office/spreadsheetml/2017/richdata2" ref="A2:S181">
    <sortCondition ref="D1:D181"/>
  </sortState>
  <tableColumns count="19">
    <tableColumn id="1" xr3:uid="{408E6A26-8766-4916-9223-1D2CED350787}" uniqueName="1" name="Algorithm" queryTableFieldId="1" dataDxfId="1"/>
    <tableColumn id="2" xr3:uid="{94E6AEB1-4E9E-4587-AB8B-D6C00E49FCA2}" uniqueName="2" name="Tech" queryTableFieldId="2"/>
    <tableColumn id="3" xr3:uid="{3DC3601C-8A1E-416D-9B80-04C3AE2F9526}" uniqueName="3" name="ExeTime" queryTableFieldId="3"/>
    <tableColumn id="4" xr3:uid="{3B978EBF-B7A6-4311-B437-F72E52D29DB5}" uniqueName="4" name="Devices" queryTableFieldId="4"/>
    <tableColumn id="5" xr3:uid="{71CBF447-E799-413A-8F9D-2EFD01C8477D}" uniqueName="5" name="DCovered" queryTableFieldId="5"/>
    <tableColumn id="6" xr3:uid="{8D49521C-E0B7-475D-9768-68C423611C57}" uniqueName="6" name="DServed" queryTableFieldId="6"/>
    <tableColumn id="7" xr3:uid="{63CA0629-2CAC-49F0-A532-4BF30957FE3D}" uniqueName="7" name="DServedEC" queryTableFieldId="7"/>
    <tableColumn id="8" xr3:uid="{E9F486DD-3BE8-4CB4-8F55-B9ED85F7AB47}" uniqueName="8" name="DServedCC" queryTableFieldId="8"/>
    <tableColumn id="9" xr3:uid="{12C246FB-5620-4DE0-BD1C-3A67C0761D19}" uniqueName="9" name="Servers" queryTableFieldId="9"/>
    <tableColumn id="10" xr3:uid="{4362134E-6E2B-4575-877B-D8C9A0C018EF}" uniqueName="10" name="SUsed" queryTableFieldId="10"/>
    <tableColumn id="11" xr3:uid="{E7201079-9915-4DC6-8521-7FA20671541A}" uniqueName="11" name="SUsedEC" queryTableFieldId="11"/>
    <tableColumn id="12" xr3:uid="{BF645E57-63D7-4A4F-8FF3-819B6A21AE17}" uniqueName="12" name="SUsedCC" queryTableFieldId="12"/>
    <tableColumn id="13" xr3:uid="{079D6727-592B-4E8C-BF87-4CD66CC6D9AF}" uniqueName="13" name="TotalCost" queryTableFieldId="13"/>
    <tableColumn id="14" xr3:uid="{1EBE9DEC-0031-4CFC-B8CA-3145C9C2834D}" uniqueName="14" name="CostNCoverage" queryTableFieldId="14"/>
    <tableColumn id="15" xr3:uid="{E3F328A2-87D5-4365-BAA1-D47CF49E569D}" uniqueName="15" name="CostNService" queryTableFieldId="15"/>
    <tableColumn id="16" xr3:uid="{118791CA-E9ED-493B-8291-B4CCE87AAB4F}" uniqueName="16" name="CostS" queryTableFieldId="16"/>
    <tableColumn id="17" xr3:uid="{3DC4C9E8-E84C-4C16-AFE2-0053613F0A47}" uniqueName="17" name="Avg.RTime" queryTableFieldId="17"/>
    <tableColumn id="18" xr3:uid="{AB7C1F30-AA8B-436E-9E2D-A6F2A8888212}" uniqueName="18" name="TotalSteps" queryTableFieldId="18"/>
    <tableColumn id="19" xr3:uid="{834FEB31-0940-44F1-8AD7-F2B80E2A4AA2}" uniqueName="19" name="Atendimento" queryTableField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FC9BFD-C17D-497A-B74E-C874DC70FDA2}" name="Metaheuristic" displayName="Metaheuristic" ref="A1:U351" tableType="queryTable" totalsRowShown="0">
  <autoFilter ref="A1:U351" xr:uid="{D4FC9BFD-C17D-497A-B74E-C874DC70FDA2}"/>
  <sortState xmlns:xlrd2="http://schemas.microsoft.com/office/spreadsheetml/2017/richdata2" ref="A2:U351">
    <sortCondition ref="D1:D351"/>
  </sortState>
  <tableColumns count="21">
    <tableColumn id="1" xr3:uid="{3FA96AB3-1C07-4FD0-A6BB-08601388FD23}" uniqueName="1" name="Algorithm" queryTableFieldId="1" dataDxfId="0"/>
    <tableColumn id="2" xr3:uid="{6C1BE980-3931-4616-A3EF-089C062F5F6C}" uniqueName="2" name="Tech" queryTableFieldId="2"/>
    <tableColumn id="3" xr3:uid="{C3D956A4-28AB-4295-BC57-7DE83CC4D353}" uniqueName="3" name="ExeTime" queryTableFieldId="3"/>
    <tableColumn id="4" xr3:uid="{22969DEE-179A-4506-9BE5-DC9217F7CF48}" uniqueName="4" name="Devices" queryTableFieldId="4"/>
    <tableColumn id="5" xr3:uid="{DF5580DC-54C2-497B-9755-6D916911C3E6}" uniqueName="5" name="DCovered" queryTableFieldId="5"/>
    <tableColumn id="6" xr3:uid="{318C173A-54FE-4772-8279-42CD8C60E652}" uniqueName="6" name="DServed" queryTableFieldId="6"/>
    <tableColumn id="7" xr3:uid="{3E853861-4F41-4C09-B9FC-558B8DD6C719}" uniqueName="7" name="DServedEC" queryTableFieldId="7"/>
    <tableColumn id="8" xr3:uid="{427EEE88-162A-45BC-9691-802FD79553FA}" uniqueName="8" name="DServedCC" queryTableFieldId="8"/>
    <tableColumn id="9" xr3:uid="{6189B085-2E50-45BD-B3DE-824DAC908092}" uniqueName="9" name="Servers" queryTableFieldId="9"/>
    <tableColumn id="10" xr3:uid="{E047238E-128A-4934-8106-182760D17445}" uniqueName="10" name="SUsed" queryTableFieldId="10"/>
    <tableColumn id="11" xr3:uid="{CC5CE0E4-DF86-45DE-B74B-C3EA83256AA5}" uniqueName="11" name="SUsedEC" queryTableFieldId="11"/>
    <tableColumn id="12" xr3:uid="{80EF263E-B9E0-4089-B963-F9D3B6554B70}" uniqueName="12" name="SUsedCC" queryTableFieldId="12"/>
    <tableColumn id="13" xr3:uid="{41A2169C-0E65-4D64-AC59-070230363D3E}" uniqueName="13" name="TotalCost" queryTableFieldId="13"/>
    <tableColumn id="14" xr3:uid="{B56BABC1-32BD-4618-8220-3340BC1732CD}" uniqueName="14" name="CostNCoverage" queryTableFieldId="14"/>
    <tableColumn id="15" xr3:uid="{1EBDF49F-BCAC-4614-8B60-3EA7487AD517}" uniqueName="15" name="CostNService" queryTableFieldId="15"/>
    <tableColumn id="16" xr3:uid="{F6DAAFF4-298C-4FCA-829A-1B3E3C65072D}" uniqueName="16" name="CostS" queryTableFieldId="16"/>
    <tableColumn id="17" xr3:uid="{F3DD7963-4570-46D2-86D6-B1035909FDD4}" uniqueName="17" name="Avg.RTime" queryTableFieldId="17"/>
    <tableColumn id="18" xr3:uid="{BD73F770-887F-4FD3-85A8-C739D9DB1D52}" uniqueName="18" name="TotalSteps" queryTableFieldId="18"/>
    <tableColumn id="19" xr3:uid="{3BFCC9F3-10A0-496F-BD33-8551C33D24FB}" uniqueName="19" name="Temperature" queryTableFieldId="19"/>
    <tableColumn id="20" xr3:uid="{E1178A6E-FCE5-46BE-B263-7B93CC41FBB6}" uniqueName="20" name="Alpha" queryTableFieldId="20"/>
    <tableColumn id="21" xr3:uid="{FBEECF10-A8FA-4A36-BBD8-9AD05739CAF7}" uniqueName="21" name="Atendimento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188D-B22E-43C9-9259-5E00CB0DFF2F}">
  <sheetPr codeName="Planilha1"/>
  <dimension ref="A1:V6"/>
  <sheetViews>
    <sheetView workbookViewId="0">
      <selection activeCell="D4" sqref="D4"/>
    </sheetView>
  </sheetViews>
  <sheetFormatPr defaultRowHeight="12.75" x14ac:dyDescent="0.2"/>
  <cols>
    <col min="1" max="1" width="13.33203125" bestFit="1" customWidth="1"/>
    <col min="2" max="2" width="8.33203125" bestFit="1" customWidth="1"/>
    <col min="3" max="3" width="12.1640625" bestFit="1" customWidth="1"/>
    <col min="4" max="4" width="10.83203125" bestFit="1" customWidth="1"/>
    <col min="5" max="5" width="12.6640625" bestFit="1" customWidth="1"/>
    <col min="6" max="6" width="11.5" bestFit="1" customWidth="1"/>
    <col min="7" max="7" width="14.1640625" bestFit="1" customWidth="1"/>
    <col min="8" max="8" width="14.5" bestFit="1" customWidth="1"/>
    <col min="9" max="9" width="11" bestFit="1" customWidth="1"/>
    <col min="10" max="10" width="9.5" bestFit="1" customWidth="1"/>
    <col min="11" max="11" width="12.1640625" bestFit="1" customWidth="1"/>
    <col min="12" max="12" width="12.5" bestFit="1" customWidth="1"/>
    <col min="13" max="13" width="12.6640625" bestFit="1" customWidth="1"/>
    <col min="14" max="14" width="18.1640625" bestFit="1" customWidth="1"/>
    <col min="15" max="15" width="16.5" bestFit="1" customWidth="1"/>
    <col min="16" max="16" width="10.1640625" bestFit="1" customWidth="1"/>
    <col min="17" max="17" width="14" bestFit="1" customWidth="1"/>
    <col min="18" max="18" width="13.5" bestFit="1" customWidth="1"/>
    <col min="19" max="19" width="9.83203125" bestFit="1" customWidth="1"/>
    <col min="20" max="20" width="12.1640625" bestFit="1" customWidth="1"/>
    <col min="21" max="21" width="8.1640625" bestFit="1" customWidth="1"/>
    <col min="22" max="22" width="15.33203125" bestFit="1" customWidth="1"/>
  </cols>
  <sheetData>
    <row r="1" spans="1:22" x14ac:dyDescent="0.2">
      <c r="A1" t="s">
        <v>41</v>
      </c>
      <c r="B1" t="s">
        <v>18</v>
      </c>
      <c r="C1" t="s">
        <v>7</v>
      </c>
      <c r="D1" t="s">
        <v>16</v>
      </c>
      <c r="E1" t="s">
        <v>19</v>
      </c>
      <c r="F1" t="s">
        <v>20</v>
      </c>
      <c r="G1" t="s">
        <v>22</v>
      </c>
      <c r="H1" t="s">
        <v>23</v>
      </c>
      <c r="I1" t="s">
        <v>17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42</v>
      </c>
      <c r="S1" t="s">
        <v>32</v>
      </c>
      <c r="T1" t="s">
        <v>33</v>
      </c>
      <c r="U1" t="s">
        <v>34</v>
      </c>
      <c r="V1" t="s">
        <v>21</v>
      </c>
    </row>
    <row r="2" spans="1:22" x14ac:dyDescent="0.2">
      <c r="A2" s="16" t="s">
        <v>8</v>
      </c>
      <c r="B2">
        <v>4</v>
      </c>
      <c r="C2">
        <v>2012.7492886780001</v>
      </c>
      <c r="D2">
        <v>21052</v>
      </c>
      <c r="E2">
        <v>92.095799999999997</v>
      </c>
      <c r="F2">
        <v>44.375799999999998</v>
      </c>
      <c r="G2">
        <v>76.707300000000004</v>
      </c>
      <c r="H2">
        <v>23.2927</v>
      </c>
      <c r="I2">
        <v>105</v>
      </c>
      <c r="J2">
        <v>100</v>
      </c>
      <c r="K2">
        <v>100</v>
      </c>
      <c r="L2">
        <v>100</v>
      </c>
      <c r="M2">
        <v>135408.56190500001</v>
      </c>
      <c r="N2">
        <v>19407.194696999999</v>
      </c>
      <c r="O2">
        <v>115868.122928</v>
      </c>
      <c r="P2">
        <v>133.24428</v>
      </c>
      <c r="Q2">
        <v>240.03955999999999</v>
      </c>
      <c r="R2">
        <v>1000</v>
      </c>
      <c r="S2" s="16" t="s">
        <v>48</v>
      </c>
      <c r="T2">
        <v>13962.063505</v>
      </c>
      <c r="U2">
        <v>1</v>
      </c>
      <c r="V2">
        <v>0.48184390601960131</v>
      </c>
    </row>
    <row r="3" spans="1:22" x14ac:dyDescent="0.2">
      <c r="A3" s="16" t="s">
        <v>8</v>
      </c>
      <c r="B3">
        <v>4</v>
      </c>
      <c r="C3">
        <v>4007.3684549449999</v>
      </c>
      <c r="D3">
        <v>42304</v>
      </c>
      <c r="E3">
        <v>92.052800000000005</v>
      </c>
      <c r="F3">
        <v>44.475700000000003</v>
      </c>
      <c r="G3">
        <v>76.922700000000006</v>
      </c>
      <c r="H3">
        <v>23.077300000000001</v>
      </c>
      <c r="I3">
        <v>105</v>
      </c>
      <c r="J3">
        <v>100</v>
      </c>
      <c r="K3">
        <v>100</v>
      </c>
      <c r="L3">
        <v>100</v>
      </c>
      <c r="M3">
        <v>272529.98923399998</v>
      </c>
      <c r="N3">
        <v>39097.033726000001</v>
      </c>
      <c r="O3">
        <v>233162.82945799999</v>
      </c>
      <c r="P3">
        <v>270.12605000000002</v>
      </c>
      <c r="Q3">
        <v>240.10204300000001</v>
      </c>
      <c r="R3">
        <v>2000</v>
      </c>
      <c r="S3" s="16" t="s">
        <v>48</v>
      </c>
      <c r="T3">
        <v>27339.610568</v>
      </c>
      <c r="U3">
        <v>1</v>
      </c>
      <c r="V3">
        <v>0.4831542332226722</v>
      </c>
    </row>
    <row r="4" spans="1:22" x14ac:dyDescent="0.2">
      <c r="A4" s="16" t="s">
        <v>8</v>
      </c>
      <c r="B4">
        <v>4</v>
      </c>
      <c r="C4">
        <v>6027.1568870459996</v>
      </c>
      <c r="D4">
        <v>62936</v>
      </c>
      <c r="E4">
        <v>92.103099999999998</v>
      </c>
      <c r="F4">
        <v>44.168700000000001</v>
      </c>
      <c r="G4">
        <v>76.483900000000006</v>
      </c>
      <c r="H4">
        <v>23.516100000000002</v>
      </c>
      <c r="I4">
        <v>105</v>
      </c>
      <c r="J4">
        <v>100</v>
      </c>
      <c r="K4">
        <v>100</v>
      </c>
      <c r="L4">
        <v>100</v>
      </c>
      <c r="M4">
        <v>405260.57230399997</v>
      </c>
      <c r="N4">
        <v>57596.989624000002</v>
      </c>
      <c r="O4">
        <v>347256.50039</v>
      </c>
      <c r="P4">
        <v>407.08229</v>
      </c>
      <c r="Q4">
        <v>241.47233800000001</v>
      </c>
      <c r="R4">
        <v>3000</v>
      </c>
      <c r="S4" s="16" t="s">
        <v>48</v>
      </c>
      <c r="T4">
        <v>40930.082602000002</v>
      </c>
      <c r="U4">
        <v>1</v>
      </c>
      <c r="V4">
        <v>0.47955714845645808</v>
      </c>
    </row>
    <row r="5" spans="1:22" x14ac:dyDescent="0.2">
      <c r="A5" s="16" t="s">
        <v>8</v>
      </c>
      <c r="B5">
        <v>4</v>
      </c>
      <c r="C5">
        <v>8006.8746260879998</v>
      </c>
      <c r="D5">
        <v>84059</v>
      </c>
      <c r="E5">
        <v>92.245900000000006</v>
      </c>
      <c r="F5">
        <v>44.761400000000002</v>
      </c>
      <c r="G5">
        <v>76.335499999999996</v>
      </c>
      <c r="H5">
        <v>23.6645</v>
      </c>
      <c r="I5">
        <v>105</v>
      </c>
      <c r="J5">
        <v>100</v>
      </c>
      <c r="K5">
        <v>100</v>
      </c>
      <c r="L5">
        <v>100</v>
      </c>
      <c r="M5">
        <v>537856.85374499997</v>
      </c>
      <c r="N5">
        <v>75737.200760000007</v>
      </c>
      <c r="O5">
        <v>461577.045125</v>
      </c>
      <c r="P5">
        <v>542.60785999999996</v>
      </c>
      <c r="Q5">
        <v>242.304822</v>
      </c>
      <c r="R5">
        <v>4000</v>
      </c>
      <c r="S5" s="16" t="s">
        <v>48</v>
      </c>
      <c r="T5">
        <v>51326.744790999997</v>
      </c>
      <c r="U5">
        <v>1</v>
      </c>
      <c r="V5">
        <v>0.48523999440625543</v>
      </c>
    </row>
    <row r="6" spans="1:22" x14ac:dyDescent="0.2">
      <c r="A6" s="16" t="s">
        <v>8</v>
      </c>
      <c r="B6">
        <v>4</v>
      </c>
      <c r="C6">
        <v>10015.612801911</v>
      </c>
      <c r="D6">
        <v>104717</v>
      </c>
      <c r="E6">
        <v>92.058599999999998</v>
      </c>
      <c r="F6">
        <v>44.535299999999999</v>
      </c>
      <c r="G6">
        <v>76.498800000000003</v>
      </c>
      <c r="H6">
        <v>23.501200000000001</v>
      </c>
      <c r="I6">
        <v>105</v>
      </c>
      <c r="J6">
        <v>100</v>
      </c>
      <c r="K6">
        <v>100</v>
      </c>
      <c r="L6">
        <v>100</v>
      </c>
      <c r="M6">
        <v>669538.45372400002</v>
      </c>
      <c r="N6">
        <v>95902.552188000001</v>
      </c>
      <c r="O6">
        <v>572954.70586600003</v>
      </c>
      <c r="P6">
        <v>681.19566999999995</v>
      </c>
      <c r="Q6">
        <v>241.34255999999999</v>
      </c>
      <c r="R6">
        <v>5000</v>
      </c>
      <c r="S6" s="16" t="s">
        <v>48</v>
      </c>
      <c r="T6">
        <v>66958.428020000007</v>
      </c>
      <c r="U6">
        <v>1</v>
      </c>
      <c r="V6">
        <v>0.48377120660101286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BCC11-FF10-4291-9E7F-C4AA97834E5C}">
  <sheetPr codeName="Planilha2"/>
  <dimension ref="A1:S181"/>
  <sheetViews>
    <sheetView workbookViewId="0"/>
  </sheetViews>
  <sheetFormatPr defaultRowHeight="12.75" x14ac:dyDescent="0.2"/>
  <cols>
    <col min="1" max="1" width="17" bestFit="1" customWidth="1"/>
    <col min="2" max="2" width="8.33203125" bestFit="1" customWidth="1"/>
    <col min="3" max="3" width="12.1640625" bestFit="1" customWidth="1"/>
    <col min="4" max="4" width="10.83203125" bestFit="1" customWidth="1"/>
    <col min="5" max="5" width="12.6640625" bestFit="1" customWidth="1"/>
    <col min="6" max="6" width="11.5" bestFit="1" customWidth="1"/>
    <col min="7" max="7" width="14.1640625" bestFit="1" customWidth="1"/>
    <col min="8" max="8" width="14.5" bestFit="1" customWidth="1"/>
    <col min="9" max="9" width="11" bestFit="1" customWidth="1"/>
    <col min="10" max="10" width="9.5" bestFit="1" customWidth="1"/>
    <col min="11" max="11" width="12.1640625" bestFit="1" customWidth="1"/>
    <col min="12" max="12" width="12.5" bestFit="1" customWidth="1"/>
    <col min="13" max="13" width="12.6640625" bestFit="1" customWidth="1"/>
    <col min="14" max="14" width="18.1640625" bestFit="1" customWidth="1"/>
    <col min="15" max="15" width="16.5" bestFit="1" customWidth="1"/>
    <col min="16" max="16" width="11.1640625" bestFit="1" customWidth="1"/>
    <col min="17" max="17" width="14" bestFit="1" customWidth="1"/>
    <col min="18" max="18" width="13.5" bestFit="1" customWidth="1"/>
    <col min="19" max="19" width="15.33203125" bestFit="1" customWidth="1"/>
  </cols>
  <sheetData>
    <row r="1" spans="1:19" x14ac:dyDescent="0.2">
      <c r="A1" t="s">
        <v>41</v>
      </c>
      <c r="B1" t="s">
        <v>18</v>
      </c>
      <c r="C1" t="s">
        <v>7</v>
      </c>
      <c r="D1" t="s">
        <v>16</v>
      </c>
      <c r="E1" t="s">
        <v>19</v>
      </c>
      <c r="F1" t="s">
        <v>20</v>
      </c>
      <c r="G1" t="s">
        <v>22</v>
      </c>
      <c r="H1" t="s">
        <v>23</v>
      </c>
      <c r="I1" t="s">
        <v>17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42</v>
      </c>
      <c r="S1" t="s">
        <v>21</v>
      </c>
    </row>
    <row r="2" spans="1:19" x14ac:dyDescent="0.2">
      <c r="A2" s="16" t="s">
        <v>5</v>
      </c>
      <c r="B2">
        <v>4</v>
      </c>
      <c r="C2">
        <v>4.7102325E-2</v>
      </c>
      <c r="D2">
        <v>21052</v>
      </c>
      <c r="E2">
        <v>92.095799999999997</v>
      </c>
      <c r="F2">
        <v>51.624499999999998</v>
      </c>
      <c r="G2">
        <v>76.683800000000005</v>
      </c>
      <c r="H2">
        <v>23.316199999999998</v>
      </c>
      <c r="I2">
        <v>105</v>
      </c>
      <c r="J2">
        <v>100</v>
      </c>
      <c r="K2">
        <v>100</v>
      </c>
      <c r="L2">
        <v>100</v>
      </c>
      <c r="M2">
        <v>110361.688308</v>
      </c>
      <c r="N2">
        <v>19407.194696999999</v>
      </c>
      <c r="O2">
        <v>90674.933051</v>
      </c>
      <c r="P2">
        <v>279.56056000000001</v>
      </c>
      <c r="Q2">
        <v>259.23682600000001</v>
      </c>
      <c r="R2">
        <v>1000</v>
      </c>
      <c r="S2">
        <v>0.56055216415949483</v>
      </c>
    </row>
    <row r="3" spans="1:19" x14ac:dyDescent="0.2">
      <c r="A3" s="16" t="s">
        <v>9</v>
      </c>
      <c r="B3">
        <v>4</v>
      </c>
      <c r="C3">
        <v>3.5022320000000001E-3</v>
      </c>
      <c r="D3">
        <v>21052</v>
      </c>
      <c r="E3">
        <v>92.095799999999997</v>
      </c>
      <c r="F3">
        <v>37.298099999999998</v>
      </c>
      <c r="G3">
        <v>65.639300000000006</v>
      </c>
      <c r="H3">
        <v>34.360700000000001</v>
      </c>
      <c r="I3">
        <v>105</v>
      </c>
      <c r="J3">
        <v>100</v>
      </c>
      <c r="K3">
        <v>100</v>
      </c>
      <c r="L3">
        <v>100</v>
      </c>
      <c r="M3">
        <v>157933.64207100001</v>
      </c>
      <c r="N3">
        <v>19407.194696999999</v>
      </c>
      <c r="O3">
        <v>138264.42368400001</v>
      </c>
      <c r="P3">
        <v>262.02368999999999</v>
      </c>
      <c r="Q3">
        <v>278.07688899999999</v>
      </c>
      <c r="R3">
        <v>1000</v>
      </c>
      <c r="S3">
        <v>0.4049924100773325</v>
      </c>
    </row>
    <row r="4" spans="1:19" x14ac:dyDescent="0.2">
      <c r="A4" s="16" t="s">
        <v>9</v>
      </c>
      <c r="B4">
        <v>4</v>
      </c>
      <c r="C4">
        <v>3.2637510000000001E-3</v>
      </c>
      <c r="D4">
        <v>21052</v>
      </c>
      <c r="E4">
        <v>92.095799999999997</v>
      </c>
      <c r="F4">
        <v>37.070099999999996</v>
      </c>
      <c r="G4">
        <v>65.697100000000006</v>
      </c>
      <c r="H4">
        <v>34.302900000000001</v>
      </c>
      <c r="I4">
        <v>105</v>
      </c>
      <c r="J4">
        <v>100</v>
      </c>
      <c r="K4">
        <v>100</v>
      </c>
      <c r="L4">
        <v>100</v>
      </c>
      <c r="M4">
        <v>157581.54732400001</v>
      </c>
      <c r="N4">
        <v>19407.194696999999</v>
      </c>
      <c r="O4">
        <v>137912.03527699999</v>
      </c>
      <c r="P4">
        <v>262.31734999999998</v>
      </c>
      <c r="Q4">
        <v>278.788591</v>
      </c>
      <c r="R4">
        <v>1000</v>
      </c>
      <c r="S4">
        <v>0.4025167271471663</v>
      </c>
    </row>
    <row r="5" spans="1:19" x14ac:dyDescent="0.2">
      <c r="A5" s="16" t="s">
        <v>9</v>
      </c>
      <c r="B5">
        <v>4</v>
      </c>
      <c r="C5">
        <v>3.2525879999999998E-3</v>
      </c>
      <c r="D5">
        <v>21052</v>
      </c>
      <c r="E5">
        <v>92.095799999999997</v>
      </c>
      <c r="F5">
        <v>37.412100000000002</v>
      </c>
      <c r="G5">
        <v>65.375799999999998</v>
      </c>
      <c r="H5">
        <v>34.624200000000002</v>
      </c>
      <c r="I5">
        <v>105</v>
      </c>
      <c r="J5">
        <v>100</v>
      </c>
      <c r="K5">
        <v>100</v>
      </c>
      <c r="L5">
        <v>100</v>
      </c>
      <c r="M5">
        <v>157354.318875</v>
      </c>
      <c r="N5">
        <v>19407.194696999999</v>
      </c>
      <c r="O5">
        <v>137684.573088</v>
      </c>
      <c r="P5">
        <v>262.55108999999999</v>
      </c>
      <c r="Q5">
        <v>278.87807299999997</v>
      </c>
      <c r="R5">
        <v>1000</v>
      </c>
      <c r="S5">
        <v>0.40623025154241565</v>
      </c>
    </row>
    <row r="6" spans="1:19" x14ac:dyDescent="0.2">
      <c r="A6" s="16" t="s">
        <v>9</v>
      </c>
      <c r="B6">
        <v>4</v>
      </c>
      <c r="C6">
        <v>3.1752600000000001E-3</v>
      </c>
      <c r="D6">
        <v>21052</v>
      </c>
      <c r="E6">
        <v>92.095799999999997</v>
      </c>
      <c r="F6">
        <v>37.421599999999998</v>
      </c>
      <c r="G6">
        <v>65.536900000000003</v>
      </c>
      <c r="H6">
        <v>34.463099999999997</v>
      </c>
      <c r="I6">
        <v>105</v>
      </c>
      <c r="J6">
        <v>100</v>
      </c>
      <c r="K6">
        <v>100</v>
      </c>
      <c r="L6">
        <v>100</v>
      </c>
      <c r="M6">
        <v>157268.807696</v>
      </c>
      <c r="N6">
        <v>19407.194696999999</v>
      </c>
      <c r="O6">
        <v>137597.60036899999</v>
      </c>
      <c r="P6">
        <v>264.01263</v>
      </c>
      <c r="Q6">
        <v>278.48818999999997</v>
      </c>
      <c r="R6">
        <v>1000</v>
      </c>
      <c r="S6">
        <v>0.40633340499783921</v>
      </c>
    </row>
    <row r="7" spans="1:19" x14ac:dyDescent="0.2">
      <c r="A7" s="16" t="s">
        <v>9</v>
      </c>
      <c r="B7">
        <v>4</v>
      </c>
      <c r="C7">
        <v>3.2903490000000001E-3</v>
      </c>
      <c r="D7">
        <v>21052</v>
      </c>
      <c r="E7">
        <v>92.095799999999997</v>
      </c>
      <c r="F7">
        <v>37.711399999999998</v>
      </c>
      <c r="G7">
        <v>64.731099999999998</v>
      </c>
      <c r="H7">
        <v>35.268900000000002</v>
      </c>
      <c r="I7">
        <v>105</v>
      </c>
      <c r="J7">
        <v>100</v>
      </c>
      <c r="K7">
        <v>100</v>
      </c>
      <c r="L7">
        <v>100</v>
      </c>
      <c r="M7">
        <v>156867.13320700001</v>
      </c>
      <c r="N7">
        <v>19407.194696999999</v>
      </c>
      <c r="O7">
        <v>137196.97523000001</v>
      </c>
      <c r="P7">
        <v>262.96328</v>
      </c>
      <c r="Q7">
        <v>280.46080999999998</v>
      </c>
      <c r="R7">
        <v>1000</v>
      </c>
      <c r="S7">
        <v>0.40948012830118202</v>
      </c>
    </row>
    <row r="8" spans="1:19" x14ac:dyDescent="0.2">
      <c r="A8" s="16" t="s">
        <v>9</v>
      </c>
      <c r="B8">
        <v>4</v>
      </c>
      <c r="C8">
        <v>3.1821940000000002E-3</v>
      </c>
      <c r="D8">
        <v>21052</v>
      </c>
      <c r="E8">
        <v>92.095799999999997</v>
      </c>
      <c r="F8">
        <v>37.4026</v>
      </c>
      <c r="G8">
        <v>65.443200000000004</v>
      </c>
      <c r="H8">
        <v>34.556800000000003</v>
      </c>
      <c r="I8">
        <v>105</v>
      </c>
      <c r="J8">
        <v>100</v>
      </c>
      <c r="K8">
        <v>100</v>
      </c>
      <c r="L8">
        <v>100</v>
      </c>
      <c r="M8">
        <v>157276.79124399999</v>
      </c>
      <c r="N8">
        <v>19407.194696999999</v>
      </c>
      <c r="O8">
        <v>137606.42072699999</v>
      </c>
      <c r="P8">
        <v>263.17581999999999</v>
      </c>
      <c r="Q8">
        <v>278.99300899999997</v>
      </c>
      <c r="R8">
        <v>1000</v>
      </c>
      <c r="S8">
        <v>0.40612709808699204</v>
      </c>
    </row>
    <row r="9" spans="1:19" x14ac:dyDescent="0.2">
      <c r="A9" s="16" t="s">
        <v>9</v>
      </c>
      <c r="B9">
        <v>4</v>
      </c>
      <c r="C9">
        <v>3.038589E-3</v>
      </c>
      <c r="D9">
        <v>21052</v>
      </c>
      <c r="E9">
        <v>92.095799999999997</v>
      </c>
      <c r="F9">
        <v>37.293399999999998</v>
      </c>
      <c r="G9">
        <v>64.807000000000002</v>
      </c>
      <c r="H9">
        <v>35.192999999999998</v>
      </c>
      <c r="I9">
        <v>105</v>
      </c>
      <c r="J9">
        <v>100</v>
      </c>
      <c r="K9">
        <v>100</v>
      </c>
      <c r="L9">
        <v>100</v>
      </c>
      <c r="M9">
        <v>158381.763752</v>
      </c>
      <c r="N9">
        <v>19407.194696999999</v>
      </c>
      <c r="O9">
        <v>138712.02369500001</v>
      </c>
      <c r="P9">
        <v>262.54536000000002</v>
      </c>
      <c r="Q9">
        <v>279.73810600000002</v>
      </c>
      <c r="R9">
        <v>1000</v>
      </c>
      <c r="S9">
        <v>0.40494137626254401</v>
      </c>
    </row>
    <row r="10" spans="1:19" x14ac:dyDescent="0.2">
      <c r="A10" s="16" t="s">
        <v>9</v>
      </c>
      <c r="B10">
        <v>4</v>
      </c>
      <c r="C10">
        <v>3.0732419999999999E-3</v>
      </c>
      <c r="D10">
        <v>21052</v>
      </c>
      <c r="E10">
        <v>92.095799999999997</v>
      </c>
      <c r="F10">
        <v>37.317100000000003</v>
      </c>
      <c r="G10">
        <v>65.351299999999995</v>
      </c>
      <c r="H10">
        <v>34.648699999999998</v>
      </c>
      <c r="I10">
        <v>105</v>
      </c>
      <c r="J10">
        <v>100</v>
      </c>
      <c r="K10">
        <v>100</v>
      </c>
      <c r="L10">
        <v>100</v>
      </c>
      <c r="M10">
        <v>157033.00748999999</v>
      </c>
      <c r="N10">
        <v>19407.194696999999</v>
      </c>
      <c r="O10">
        <v>137362.668863</v>
      </c>
      <c r="P10">
        <v>263.14393000000001</v>
      </c>
      <c r="Q10">
        <v>279.10582299999999</v>
      </c>
      <c r="R10">
        <v>1000</v>
      </c>
      <c r="S10">
        <v>0.40519871698817977</v>
      </c>
    </row>
    <row r="11" spans="1:19" x14ac:dyDescent="0.2">
      <c r="A11" s="16" t="s">
        <v>9</v>
      </c>
      <c r="B11">
        <v>4</v>
      </c>
      <c r="C11">
        <v>3.3854860000000001E-3</v>
      </c>
      <c r="D11">
        <v>21052</v>
      </c>
      <c r="E11">
        <v>92.095799999999997</v>
      </c>
      <c r="F11">
        <v>37.706600000000002</v>
      </c>
      <c r="G11">
        <v>66.125</v>
      </c>
      <c r="H11">
        <v>33.875</v>
      </c>
      <c r="I11">
        <v>105</v>
      </c>
      <c r="J11">
        <v>100</v>
      </c>
      <c r="K11">
        <v>100</v>
      </c>
      <c r="L11">
        <v>100</v>
      </c>
      <c r="M11">
        <v>156808.96846100001</v>
      </c>
      <c r="N11">
        <v>19407.194696999999</v>
      </c>
      <c r="O11">
        <v>137138.363484</v>
      </c>
      <c r="P11">
        <v>263.41028</v>
      </c>
      <c r="Q11">
        <v>277.087447</v>
      </c>
      <c r="R11">
        <v>1000</v>
      </c>
      <c r="S11">
        <v>0.40942800866054696</v>
      </c>
    </row>
    <row r="12" spans="1:19" x14ac:dyDescent="0.2">
      <c r="A12" s="16" t="s">
        <v>9</v>
      </c>
      <c r="B12">
        <v>4</v>
      </c>
      <c r="C12">
        <v>3.1710750000000002E-3</v>
      </c>
      <c r="D12">
        <v>21052</v>
      </c>
      <c r="E12">
        <v>92.095799999999997</v>
      </c>
      <c r="F12">
        <v>37.630600000000001</v>
      </c>
      <c r="G12">
        <v>65.602099999999993</v>
      </c>
      <c r="H12">
        <v>34.3979</v>
      </c>
      <c r="I12">
        <v>105</v>
      </c>
      <c r="J12">
        <v>100</v>
      </c>
      <c r="K12">
        <v>100</v>
      </c>
      <c r="L12">
        <v>100</v>
      </c>
      <c r="M12">
        <v>156886.23509100001</v>
      </c>
      <c r="N12">
        <v>19407.194696999999</v>
      </c>
      <c r="O12">
        <v>137216.03301399999</v>
      </c>
      <c r="P12">
        <v>263.00738000000001</v>
      </c>
      <c r="Q12">
        <v>278.62117799999999</v>
      </c>
      <c r="R12">
        <v>1000</v>
      </c>
      <c r="S12">
        <v>0.40860278101715825</v>
      </c>
    </row>
    <row r="13" spans="1:19" x14ac:dyDescent="0.2">
      <c r="A13" s="16" t="s">
        <v>9</v>
      </c>
      <c r="B13">
        <v>4</v>
      </c>
      <c r="C13">
        <v>3.4499399999999999E-3</v>
      </c>
      <c r="D13">
        <v>21052</v>
      </c>
      <c r="E13">
        <v>92.095799999999997</v>
      </c>
      <c r="F13">
        <v>37.749400000000001</v>
      </c>
      <c r="G13">
        <v>65.358000000000004</v>
      </c>
      <c r="H13">
        <v>34.642000000000003</v>
      </c>
      <c r="I13">
        <v>105</v>
      </c>
      <c r="J13">
        <v>100</v>
      </c>
      <c r="K13">
        <v>100</v>
      </c>
      <c r="L13">
        <v>100</v>
      </c>
      <c r="M13">
        <v>156596.680891</v>
      </c>
      <c r="N13">
        <v>19407.194696999999</v>
      </c>
      <c r="O13">
        <v>136926.416474</v>
      </c>
      <c r="P13">
        <v>263.06972000000002</v>
      </c>
      <c r="Q13">
        <v>279.10749800000002</v>
      </c>
      <c r="R13">
        <v>1000</v>
      </c>
      <c r="S13">
        <v>0.40989274212287641</v>
      </c>
    </row>
    <row r="14" spans="1:19" x14ac:dyDescent="0.2">
      <c r="A14" s="16" t="s">
        <v>9</v>
      </c>
      <c r="B14">
        <v>4</v>
      </c>
      <c r="C14">
        <v>3.3214289999999999E-3</v>
      </c>
      <c r="D14">
        <v>21052</v>
      </c>
      <c r="E14">
        <v>92.095799999999997</v>
      </c>
      <c r="F14">
        <v>37.359900000000003</v>
      </c>
      <c r="G14">
        <v>65.835999999999999</v>
      </c>
      <c r="H14">
        <v>34.164000000000001</v>
      </c>
      <c r="I14">
        <v>105</v>
      </c>
      <c r="J14">
        <v>100</v>
      </c>
      <c r="K14">
        <v>100</v>
      </c>
      <c r="L14">
        <v>100</v>
      </c>
      <c r="M14">
        <v>158011.387372</v>
      </c>
      <c r="N14">
        <v>19407.194696999999</v>
      </c>
      <c r="O14">
        <v>138341.38260499999</v>
      </c>
      <c r="P14">
        <v>262.81007</v>
      </c>
      <c r="Q14">
        <v>277.52471000000003</v>
      </c>
      <c r="R14">
        <v>1000</v>
      </c>
      <c r="S14">
        <v>0.40566345045050917</v>
      </c>
    </row>
    <row r="15" spans="1:19" x14ac:dyDescent="0.2">
      <c r="A15" s="16" t="s">
        <v>9</v>
      </c>
      <c r="B15">
        <v>4</v>
      </c>
      <c r="C15">
        <v>3.2098389999999999E-3</v>
      </c>
      <c r="D15">
        <v>21052</v>
      </c>
      <c r="E15">
        <v>92.095799999999997</v>
      </c>
      <c r="F15">
        <v>36.975099999999998</v>
      </c>
      <c r="G15">
        <v>66.765199999999993</v>
      </c>
      <c r="H15">
        <v>33.2348</v>
      </c>
      <c r="I15">
        <v>105</v>
      </c>
      <c r="J15">
        <v>100</v>
      </c>
      <c r="K15">
        <v>100</v>
      </c>
      <c r="L15">
        <v>100</v>
      </c>
      <c r="M15">
        <v>158684.62578100001</v>
      </c>
      <c r="N15">
        <v>19407.194696999999</v>
      </c>
      <c r="O15">
        <v>139014.193784</v>
      </c>
      <c r="P15">
        <v>263.2373</v>
      </c>
      <c r="Q15">
        <v>275.44917199999998</v>
      </c>
      <c r="R15">
        <v>1000</v>
      </c>
      <c r="S15">
        <v>0.40148519259293042</v>
      </c>
    </row>
    <row r="16" spans="1:19" x14ac:dyDescent="0.2">
      <c r="A16" s="16" t="s">
        <v>9</v>
      </c>
      <c r="B16">
        <v>4</v>
      </c>
      <c r="C16">
        <v>3.42867E-3</v>
      </c>
      <c r="D16">
        <v>21052</v>
      </c>
      <c r="E16">
        <v>92.095799999999997</v>
      </c>
      <c r="F16">
        <v>37.307600000000001</v>
      </c>
      <c r="G16">
        <v>65.571700000000007</v>
      </c>
      <c r="H16">
        <v>34.4283</v>
      </c>
      <c r="I16">
        <v>105</v>
      </c>
      <c r="J16">
        <v>100</v>
      </c>
      <c r="K16">
        <v>100</v>
      </c>
      <c r="L16">
        <v>100</v>
      </c>
      <c r="M16">
        <v>157399.18053099999</v>
      </c>
      <c r="N16">
        <v>19407.194696999999</v>
      </c>
      <c r="O16">
        <v>137729.119924</v>
      </c>
      <c r="P16">
        <v>262.86590999999999</v>
      </c>
      <c r="Q16">
        <v>278.61005299999999</v>
      </c>
      <c r="R16">
        <v>1000</v>
      </c>
      <c r="S16">
        <v>0.40509556353275611</v>
      </c>
    </row>
    <row r="17" spans="1:19" x14ac:dyDescent="0.2">
      <c r="A17" s="16" t="s">
        <v>9</v>
      </c>
      <c r="B17">
        <v>4</v>
      </c>
      <c r="C17">
        <v>3.1122950000000002E-3</v>
      </c>
      <c r="D17">
        <v>21052</v>
      </c>
      <c r="E17">
        <v>92.095799999999997</v>
      </c>
      <c r="F17">
        <v>37.103400000000001</v>
      </c>
      <c r="G17">
        <v>65.382199999999997</v>
      </c>
      <c r="H17">
        <v>34.617800000000003</v>
      </c>
      <c r="I17">
        <v>105</v>
      </c>
      <c r="J17">
        <v>100</v>
      </c>
      <c r="K17">
        <v>100</v>
      </c>
      <c r="L17">
        <v>100</v>
      </c>
      <c r="M17">
        <v>158040.00331500001</v>
      </c>
      <c r="N17">
        <v>19407.194696999999</v>
      </c>
      <c r="O17">
        <v>138370.29901799999</v>
      </c>
      <c r="P17">
        <v>262.50959999999998</v>
      </c>
      <c r="Q17">
        <v>277.853318</v>
      </c>
      <c r="R17">
        <v>1000</v>
      </c>
      <c r="S17">
        <v>0.40287830715407219</v>
      </c>
    </row>
    <row r="18" spans="1:19" x14ac:dyDescent="0.2">
      <c r="A18" s="16" t="s">
        <v>9</v>
      </c>
      <c r="B18">
        <v>4</v>
      </c>
      <c r="C18">
        <v>3.2425610000000001E-3</v>
      </c>
      <c r="D18">
        <v>21052</v>
      </c>
      <c r="E18">
        <v>92.095799999999997</v>
      </c>
      <c r="F18">
        <v>37.4026</v>
      </c>
      <c r="G18">
        <v>64.643100000000004</v>
      </c>
      <c r="H18">
        <v>35.356900000000003</v>
      </c>
      <c r="I18">
        <v>105</v>
      </c>
      <c r="J18">
        <v>100</v>
      </c>
      <c r="K18">
        <v>100</v>
      </c>
      <c r="L18">
        <v>100</v>
      </c>
      <c r="M18">
        <v>157670.867704</v>
      </c>
      <c r="N18">
        <v>19407.194696999999</v>
      </c>
      <c r="O18">
        <v>138001.873047</v>
      </c>
      <c r="P18">
        <v>261.79996</v>
      </c>
      <c r="Q18">
        <v>281.40725200000003</v>
      </c>
      <c r="R18">
        <v>1000</v>
      </c>
      <c r="S18">
        <v>0.40612709808699204</v>
      </c>
    </row>
    <row r="19" spans="1:19" x14ac:dyDescent="0.2">
      <c r="A19" s="16" t="s">
        <v>9</v>
      </c>
      <c r="B19">
        <v>4</v>
      </c>
      <c r="C19">
        <v>3.1220179999999998E-3</v>
      </c>
      <c r="D19">
        <v>21052</v>
      </c>
      <c r="E19">
        <v>92.095799999999997</v>
      </c>
      <c r="F19">
        <v>37.260100000000001</v>
      </c>
      <c r="G19">
        <v>65.311099999999996</v>
      </c>
      <c r="H19">
        <v>34.688899999999997</v>
      </c>
      <c r="I19">
        <v>105</v>
      </c>
      <c r="J19">
        <v>100</v>
      </c>
      <c r="K19">
        <v>100</v>
      </c>
      <c r="L19">
        <v>100</v>
      </c>
      <c r="M19">
        <v>157441.496797</v>
      </c>
      <c r="N19">
        <v>19407.194696999999</v>
      </c>
      <c r="O19">
        <v>137771.40753999999</v>
      </c>
      <c r="P19">
        <v>262.89456000000001</v>
      </c>
      <c r="Q19">
        <v>278.70532700000001</v>
      </c>
      <c r="R19">
        <v>1000</v>
      </c>
      <c r="S19">
        <v>0.40457979625563817</v>
      </c>
    </row>
    <row r="20" spans="1:19" x14ac:dyDescent="0.2">
      <c r="A20" s="16" t="s">
        <v>9</v>
      </c>
      <c r="B20">
        <v>4</v>
      </c>
      <c r="C20">
        <v>3.175986E-3</v>
      </c>
      <c r="D20">
        <v>21052</v>
      </c>
      <c r="E20">
        <v>92.095799999999997</v>
      </c>
      <c r="F20">
        <v>37.3979</v>
      </c>
      <c r="G20">
        <v>66.150099999999995</v>
      </c>
      <c r="H20">
        <v>33.849899999999998</v>
      </c>
      <c r="I20">
        <v>105</v>
      </c>
      <c r="J20">
        <v>100</v>
      </c>
      <c r="K20">
        <v>100</v>
      </c>
      <c r="L20">
        <v>100</v>
      </c>
      <c r="M20">
        <v>157726.29263400001</v>
      </c>
      <c r="N20">
        <v>19407.194696999999</v>
      </c>
      <c r="O20">
        <v>138056.25984700001</v>
      </c>
      <c r="P20">
        <v>262.83809000000002</v>
      </c>
      <c r="Q20">
        <v>277.64784700000001</v>
      </c>
      <c r="R20">
        <v>1000</v>
      </c>
      <c r="S20">
        <v>0.4060760642722035</v>
      </c>
    </row>
    <row r="21" spans="1:19" x14ac:dyDescent="0.2">
      <c r="A21" s="16" t="s">
        <v>9</v>
      </c>
      <c r="B21">
        <v>4</v>
      </c>
      <c r="C21">
        <v>3.2713899999999999E-3</v>
      </c>
      <c r="D21">
        <v>21052</v>
      </c>
      <c r="E21">
        <v>92.095799999999997</v>
      </c>
      <c r="F21">
        <v>37.568899999999999</v>
      </c>
      <c r="G21">
        <v>65.887</v>
      </c>
      <c r="H21">
        <v>34.113</v>
      </c>
      <c r="I21">
        <v>105</v>
      </c>
      <c r="J21">
        <v>100</v>
      </c>
      <c r="K21">
        <v>100</v>
      </c>
      <c r="L21">
        <v>100</v>
      </c>
      <c r="M21">
        <v>156596.44159</v>
      </c>
      <c r="N21">
        <v>19407.194696999999</v>
      </c>
      <c r="O21">
        <v>136925.88531300001</v>
      </c>
      <c r="P21">
        <v>263.36158</v>
      </c>
      <c r="Q21">
        <v>277.30935799999997</v>
      </c>
      <c r="R21">
        <v>1000</v>
      </c>
      <c r="S21">
        <v>0.40793282646982815</v>
      </c>
    </row>
    <row r="22" spans="1:19" x14ac:dyDescent="0.2">
      <c r="A22" s="16" t="s">
        <v>9</v>
      </c>
      <c r="B22">
        <v>4</v>
      </c>
      <c r="C22">
        <v>3.5173460000000002E-3</v>
      </c>
      <c r="D22">
        <v>21052</v>
      </c>
      <c r="E22">
        <v>92.095799999999997</v>
      </c>
      <c r="F22">
        <v>37.421599999999998</v>
      </c>
      <c r="G22">
        <v>65.206900000000005</v>
      </c>
      <c r="H22">
        <v>34.793100000000003</v>
      </c>
      <c r="I22">
        <v>105</v>
      </c>
      <c r="J22">
        <v>100</v>
      </c>
      <c r="K22">
        <v>100</v>
      </c>
      <c r="L22">
        <v>100</v>
      </c>
      <c r="M22">
        <v>157389.19755899999</v>
      </c>
      <c r="N22">
        <v>19407.194696999999</v>
      </c>
      <c r="O22">
        <v>137719.082142</v>
      </c>
      <c r="P22">
        <v>262.92072000000002</v>
      </c>
      <c r="Q22">
        <v>280.59483</v>
      </c>
      <c r="R22">
        <v>1000</v>
      </c>
      <c r="S22">
        <v>0.40633340499783921</v>
      </c>
    </row>
    <row r="23" spans="1:19" x14ac:dyDescent="0.2">
      <c r="A23" s="16" t="s">
        <v>9</v>
      </c>
      <c r="B23">
        <v>4</v>
      </c>
      <c r="C23">
        <v>3.5597419999999999E-3</v>
      </c>
      <c r="D23">
        <v>21052</v>
      </c>
      <c r="E23">
        <v>92.095799999999997</v>
      </c>
      <c r="F23">
        <v>37.435899999999997</v>
      </c>
      <c r="G23">
        <v>66.133700000000005</v>
      </c>
      <c r="H23">
        <v>33.866300000000003</v>
      </c>
      <c r="I23">
        <v>105</v>
      </c>
      <c r="J23">
        <v>100</v>
      </c>
      <c r="K23">
        <v>100</v>
      </c>
      <c r="L23">
        <v>100</v>
      </c>
      <c r="M23">
        <v>157609.36405100001</v>
      </c>
      <c r="N23">
        <v>19407.194696999999</v>
      </c>
      <c r="O23">
        <v>137939.61690399999</v>
      </c>
      <c r="P23">
        <v>262.55245000000002</v>
      </c>
      <c r="Q23">
        <v>276.65505200000001</v>
      </c>
      <c r="R23">
        <v>1000</v>
      </c>
      <c r="S23">
        <v>0.40648867809389783</v>
      </c>
    </row>
    <row r="24" spans="1:19" x14ac:dyDescent="0.2">
      <c r="A24" s="16" t="s">
        <v>9</v>
      </c>
      <c r="B24">
        <v>4</v>
      </c>
      <c r="C24">
        <v>3.399436E-3</v>
      </c>
      <c r="D24">
        <v>21052</v>
      </c>
      <c r="E24">
        <v>92.095799999999997</v>
      </c>
      <c r="F24">
        <v>37.131900000000002</v>
      </c>
      <c r="G24">
        <v>65.741299999999995</v>
      </c>
      <c r="H24">
        <v>34.258699999999997</v>
      </c>
      <c r="I24">
        <v>105</v>
      </c>
      <c r="J24">
        <v>100</v>
      </c>
      <c r="K24">
        <v>100</v>
      </c>
      <c r="L24">
        <v>100</v>
      </c>
      <c r="M24">
        <v>158249.33338299999</v>
      </c>
      <c r="N24">
        <v>19407.194696999999</v>
      </c>
      <c r="O24">
        <v>138579.24550600001</v>
      </c>
      <c r="P24">
        <v>262.89317999999997</v>
      </c>
      <c r="Q24">
        <v>277.79132600000003</v>
      </c>
      <c r="R24">
        <v>1000</v>
      </c>
      <c r="S24">
        <v>0.40318776752034297</v>
      </c>
    </row>
    <row r="25" spans="1:19" x14ac:dyDescent="0.2">
      <c r="A25" s="16" t="s">
        <v>9</v>
      </c>
      <c r="B25">
        <v>4</v>
      </c>
      <c r="C25">
        <v>3.345644E-3</v>
      </c>
      <c r="D25">
        <v>21052</v>
      </c>
      <c r="E25">
        <v>92.095799999999997</v>
      </c>
      <c r="F25">
        <v>37.217399999999998</v>
      </c>
      <c r="G25">
        <v>65.360600000000005</v>
      </c>
      <c r="H25">
        <v>34.639400000000002</v>
      </c>
      <c r="I25">
        <v>105</v>
      </c>
      <c r="J25">
        <v>99.047600000000003</v>
      </c>
      <c r="K25">
        <v>99</v>
      </c>
      <c r="L25">
        <v>100</v>
      </c>
      <c r="M25">
        <v>157703.53408000001</v>
      </c>
      <c r="N25">
        <v>19407.194696999999</v>
      </c>
      <c r="O25">
        <v>138033.515663</v>
      </c>
      <c r="P25">
        <v>262.82371999999998</v>
      </c>
      <c r="Q25">
        <v>279.29810099999997</v>
      </c>
      <c r="R25">
        <v>1000</v>
      </c>
      <c r="S25">
        <v>0.40411614861915524</v>
      </c>
    </row>
    <row r="26" spans="1:19" x14ac:dyDescent="0.2">
      <c r="A26" s="16" t="s">
        <v>9</v>
      </c>
      <c r="B26">
        <v>4</v>
      </c>
      <c r="C26">
        <v>3.271314E-3</v>
      </c>
      <c r="D26">
        <v>21052</v>
      </c>
      <c r="E26">
        <v>92.095799999999997</v>
      </c>
      <c r="F26">
        <v>37.388399999999997</v>
      </c>
      <c r="G26">
        <v>65.201400000000007</v>
      </c>
      <c r="H26">
        <v>34.7986</v>
      </c>
      <c r="I26">
        <v>105</v>
      </c>
      <c r="J26">
        <v>100</v>
      </c>
      <c r="K26">
        <v>100</v>
      </c>
      <c r="L26">
        <v>100</v>
      </c>
      <c r="M26">
        <v>157299.53826599999</v>
      </c>
      <c r="N26">
        <v>19407.194696999999</v>
      </c>
      <c r="O26">
        <v>137629.53997899999</v>
      </c>
      <c r="P26">
        <v>262.80358999999999</v>
      </c>
      <c r="Q26">
        <v>279.72375399999999</v>
      </c>
      <c r="R26">
        <v>1000</v>
      </c>
      <c r="S26">
        <v>0.40597291081677989</v>
      </c>
    </row>
    <row r="27" spans="1:19" x14ac:dyDescent="0.2">
      <c r="A27" s="16" t="s">
        <v>9</v>
      </c>
      <c r="B27">
        <v>4</v>
      </c>
      <c r="C27">
        <v>3.2276430000000001E-3</v>
      </c>
      <c r="D27">
        <v>21052</v>
      </c>
      <c r="E27">
        <v>92.095799999999997</v>
      </c>
      <c r="F27">
        <v>37.331400000000002</v>
      </c>
      <c r="G27">
        <v>65.937100000000001</v>
      </c>
      <c r="H27">
        <v>34.062899999999999</v>
      </c>
      <c r="I27">
        <v>105</v>
      </c>
      <c r="J27">
        <v>100</v>
      </c>
      <c r="K27">
        <v>100</v>
      </c>
      <c r="L27">
        <v>100</v>
      </c>
      <c r="M27">
        <v>157647.65092399999</v>
      </c>
      <c r="N27">
        <v>19407.194696999999</v>
      </c>
      <c r="O27">
        <v>137977.06225700001</v>
      </c>
      <c r="P27">
        <v>263.39397000000002</v>
      </c>
      <c r="Q27">
        <v>277.85129000000001</v>
      </c>
      <c r="R27">
        <v>1000</v>
      </c>
      <c r="S27">
        <v>0.40535399008423839</v>
      </c>
    </row>
    <row r="28" spans="1:19" x14ac:dyDescent="0.2">
      <c r="A28" s="16" t="s">
        <v>9</v>
      </c>
      <c r="B28">
        <v>4</v>
      </c>
      <c r="C28">
        <v>3.2950039999999998E-3</v>
      </c>
      <c r="D28">
        <v>21052</v>
      </c>
      <c r="E28">
        <v>92.095799999999997</v>
      </c>
      <c r="F28">
        <v>37.388399999999997</v>
      </c>
      <c r="G28">
        <v>65.417400000000001</v>
      </c>
      <c r="H28">
        <v>34.582599999999999</v>
      </c>
      <c r="I28">
        <v>105</v>
      </c>
      <c r="J28">
        <v>100</v>
      </c>
      <c r="K28">
        <v>100</v>
      </c>
      <c r="L28">
        <v>100</v>
      </c>
      <c r="M28">
        <v>157725.160879</v>
      </c>
      <c r="N28">
        <v>19407.194696999999</v>
      </c>
      <c r="O28">
        <v>138054.46959200001</v>
      </c>
      <c r="P28">
        <v>263.49659000000003</v>
      </c>
      <c r="Q28">
        <v>279.15910400000001</v>
      </c>
      <c r="R28">
        <v>1000</v>
      </c>
      <c r="S28">
        <v>0.40597291081677989</v>
      </c>
    </row>
    <row r="29" spans="1:19" x14ac:dyDescent="0.2">
      <c r="A29" s="16" t="s">
        <v>9</v>
      </c>
      <c r="B29">
        <v>4</v>
      </c>
      <c r="C29">
        <v>3.173473E-3</v>
      </c>
      <c r="D29">
        <v>21052</v>
      </c>
      <c r="E29">
        <v>92.095799999999997</v>
      </c>
      <c r="F29">
        <v>37.193600000000004</v>
      </c>
      <c r="G29">
        <v>65.887600000000006</v>
      </c>
      <c r="H29">
        <v>34.112400000000001</v>
      </c>
      <c r="I29">
        <v>105</v>
      </c>
      <c r="J29">
        <v>100</v>
      </c>
      <c r="K29">
        <v>100</v>
      </c>
      <c r="L29">
        <v>100</v>
      </c>
      <c r="M29">
        <v>157331.466354</v>
      </c>
      <c r="N29">
        <v>19407.194696999999</v>
      </c>
      <c r="O29">
        <v>137661.38971700001</v>
      </c>
      <c r="P29">
        <v>262.88193999999999</v>
      </c>
      <c r="Q29">
        <v>277.62536999999998</v>
      </c>
      <c r="R29">
        <v>1000</v>
      </c>
      <c r="S29">
        <v>0.40385772206767306</v>
      </c>
    </row>
    <row r="30" spans="1:19" x14ac:dyDescent="0.2">
      <c r="A30" s="16" t="s">
        <v>9</v>
      </c>
      <c r="B30">
        <v>4</v>
      </c>
      <c r="C30">
        <v>3.4579569999999998E-3</v>
      </c>
      <c r="D30">
        <v>21052</v>
      </c>
      <c r="E30">
        <v>92.095799999999997</v>
      </c>
      <c r="F30">
        <v>37.412100000000002</v>
      </c>
      <c r="G30">
        <v>65.756699999999995</v>
      </c>
      <c r="H30">
        <v>34.243299999999998</v>
      </c>
      <c r="I30">
        <v>105</v>
      </c>
      <c r="J30">
        <v>100</v>
      </c>
      <c r="K30">
        <v>100</v>
      </c>
      <c r="L30">
        <v>100</v>
      </c>
      <c r="M30">
        <v>157971.46216600001</v>
      </c>
      <c r="N30">
        <v>19407.194696999999</v>
      </c>
      <c r="O30">
        <v>138301.59145899999</v>
      </c>
      <c r="P30">
        <v>262.67601000000002</v>
      </c>
      <c r="Q30">
        <v>277.49375900000001</v>
      </c>
      <c r="R30">
        <v>1000</v>
      </c>
      <c r="S30">
        <v>0.40623025154241565</v>
      </c>
    </row>
    <row r="31" spans="1:19" x14ac:dyDescent="0.2">
      <c r="A31" s="16" t="s">
        <v>9</v>
      </c>
      <c r="B31">
        <v>4</v>
      </c>
      <c r="C31">
        <v>3.4309039999999998E-3</v>
      </c>
      <c r="D31">
        <v>21052</v>
      </c>
      <c r="E31">
        <v>92.095799999999997</v>
      </c>
      <c r="F31">
        <v>37.4026</v>
      </c>
      <c r="G31">
        <v>65.430499999999995</v>
      </c>
      <c r="H31">
        <v>34.569499999999998</v>
      </c>
      <c r="I31">
        <v>105</v>
      </c>
      <c r="J31">
        <v>100</v>
      </c>
      <c r="K31">
        <v>100</v>
      </c>
      <c r="L31">
        <v>100</v>
      </c>
      <c r="M31">
        <v>157226.719942</v>
      </c>
      <c r="N31">
        <v>19407.194696999999</v>
      </c>
      <c r="O31">
        <v>137556.98769499999</v>
      </c>
      <c r="P31">
        <v>262.53755000000001</v>
      </c>
      <c r="Q31">
        <v>279.25306</v>
      </c>
      <c r="R31">
        <v>1000</v>
      </c>
      <c r="S31">
        <v>0.40612709808699204</v>
      </c>
    </row>
    <row r="32" spans="1:19" x14ac:dyDescent="0.2">
      <c r="A32" s="16" t="s">
        <v>9</v>
      </c>
      <c r="B32">
        <v>4</v>
      </c>
      <c r="C32">
        <v>3.7526310000000002E-3</v>
      </c>
      <c r="D32">
        <v>21052</v>
      </c>
      <c r="E32">
        <v>92.095799999999997</v>
      </c>
      <c r="F32">
        <v>37.1509</v>
      </c>
      <c r="G32">
        <v>65.848399999999998</v>
      </c>
      <c r="H32">
        <v>34.151600000000002</v>
      </c>
      <c r="I32">
        <v>105</v>
      </c>
      <c r="J32">
        <v>100</v>
      </c>
      <c r="K32">
        <v>100</v>
      </c>
      <c r="L32">
        <v>100</v>
      </c>
      <c r="M32">
        <v>158020.48633099999</v>
      </c>
      <c r="N32">
        <v>19407.194696999999</v>
      </c>
      <c r="O32">
        <v>138350.49428399999</v>
      </c>
      <c r="P32">
        <v>262.79734999999999</v>
      </c>
      <c r="Q32">
        <v>278.52387499999998</v>
      </c>
      <c r="R32">
        <v>1000</v>
      </c>
      <c r="S32">
        <v>0.40339407443119013</v>
      </c>
    </row>
    <row r="33" spans="1:19" x14ac:dyDescent="0.2">
      <c r="A33" s="16" t="s">
        <v>9</v>
      </c>
      <c r="B33">
        <v>4</v>
      </c>
      <c r="C33">
        <v>3.2548569999999999E-3</v>
      </c>
      <c r="D33">
        <v>21052</v>
      </c>
      <c r="E33">
        <v>92.095799999999997</v>
      </c>
      <c r="F33">
        <v>37.716099999999997</v>
      </c>
      <c r="G33">
        <v>65.7179</v>
      </c>
      <c r="H33">
        <v>34.2821</v>
      </c>
      <c r="I33">
        <v>105</v>
      </c>
      <c r="J33">
        <v>100</v>
      </c>
      <c r="K33">
        <v>100</v>
      </c>
      <c r="L33">
        <v>100</v>
      </c>
      <c r="M33">
        <v>157031.59347399999</v>
      </c>
      <c r="N33">
        <v>19407.194696999999</v>
      </c>
      <c r="O33">
        <v>137360.84957699999</v>
      </c>
      <c r="P33">
        <v>263.54919999999998</v>
      </c>
      <c r="Q33">
        <v>278.07951200000002</v>
      </c>
      <c r="R33">
        <v>1000</v>
      </c>
      <c r="S33">
        <v>0.40953116211597052</v>
      </c>
    </row>
    <row r="34" spans="1:19" x14ac:dyDescent="0.2">
      <c r="A34" s="16" t="s">
        <v>9</v>
      </c>
      <c r="B34">
        <v>4</v>
      </c>
      <c r="C34">
        <v>3.3599319999999999E-3</v>
      </c>
      <c r="D34">
        <v>21052</v>
      </c>
      <c r="E34">
        <v>92.095799999999997</v>
      </c>
      <c r="F34">
        <v>37.4026</v>
      </c>
      <c r="G34">
        <v>65.519400000000005</v>
      </c>
      <c r="H34">
        <v>34.480600000000003</v>
      </c>
      <c r="I34">
        <v>105</v>
      </c>
      <c r="J34">
        <v>100</v>
      </c>
      <c r="K34">
        <v>100</v>
      </c>
      <c r="L34">
        <v>100</v>
      </c>
      <c r="M34">
        <v>157530.05861400001</v>
      </c>
      <c r="N34">
        <v>19407.194696999999</v>
      </c>
      <c r="O34">
        <v>137860.100897</v>
      </c>
      <c r="P34">
        <v>262.76301999999998</v>
      </c>
      <c r="Q34">
        <v>278.00612999999998</v>
      </c>
      <c r="R34">
        <v>1000</v>
      </c>
      <c r="S34">
        <v>0.40612709808699204</v>
      </c>
    </row>
    <row r="35" spans="1:19" x14ac:dyDescent="0.2">
      <c r="A35" s="16" t="s">
        <v>9</v>
      </c>
      <c r="B35">
        <v>4</v>
      </c>
      <c r="C35">
        <v>3.6251339999999999E-3</v>
      </c>
      <c r="D35">
        <v>21052</v>
      </c>
      <c r="E35">
        <v>92.095799999999997</v>
      </c>
      <c r="F35">
        <v>37.6021</v>
      </c>
      <c r="G35">
        <v>65.437100000000001</v>
      </c>
      <c r="H35">
        <v>34.562899999999999</v>
      </c>
      <c r="I35">
        <v>105</v>
      </c>
      <c r="J35">
        <v>100</v>
      </c>
      <c r="K35">
        <v>100</v>
      </c>
      <c r="L35">
        <v>100</v>
      </c>
      <c r="M35">
        <v>157352.67268300001</v>
      </c>
      <c r="N35">
        <v>19407.194696999999</v>
      </c>
      <c r="O35">
        <v>137682.69315599999</v>
      </c>
      <c r="P35">
        <v>262.78483</v>
      </c>
      <c r="Q35">
        <v>278.73970800000001</v>
      </c>
      <c r="R35">
        <v>1000</v>
      </c>
      <c r="S35">
        <v>0.40829332065088747</v>
      </c>
    </row>
    <row r="36" spans="1:19" x14ac:dyDescent="0.2">
      <c r="A36" s="16" t="s">
        <v>9</v>
      </c>
      <c r="B36">
        <v>4</v>
      </c>
      <c r="C36">
        <v>3.2006309999999998E-3</v>
      </c>
      <c r="D36">
        <v>21052</v>
      </c>
      <c r="E36">
        <v>92.095799999999997</v>
      </c>
      <c r="F36">
        <v>37.758899999999997</v>
      </c>
      <c r="G36">
        <v>65.517700000000005</v>
      </c>
      <c r="H36">
        <v>34.482300000000002</v>
      </c>
      <c r="I36">
        <v>105</v>
      </c>
      <c r="J36">
        <v>100</v>
      </c>
      <c r="K36">
        <v>100</v>
      </c>
      <c r="L36">
        <v>100</v>
      </c>
      <c r="M36">
        <v>156951.89436999999</v>
      </c>
      <c r="N36">
        <v>19407.194696999999</v>
      </c>
      <c r="O36">
        <v>137281.25688299999</v>
      </c>
      <c r="P36">
        <v>263.44279</v>
      </c>
      <c r="Q36">
        <v>278.32953600000002</v>
      </c>
      <c r="R36">
        <v>1000</v>
      </c>
      <c r="S36">
        <v>0.40999589557829996</v>
      </c>
    </row>
    <row r="37" spans="1:19" x14ac:dyDescent="0.2">
      <c r="A37" s="16" t="s">
        <v>9</v>
      </c>
      <c r="B37">
        <v>4</v>
      </c>
      <c r="C37">
        <v>3.2078850000000002E-3</v>
      </c>
      <c r="D37">
        <v>21052</v>
      </c>
      <c r="E37">
        <v>92.095799999999997</v>
      </c>
      <c r="F37">
        <v>37.488100000000003</v>
      </c>
      <c r="G37">
        <v>65.965500000000006</v>
      </c>
      <c r="H37">
        <v>34.034500000000001</v>
      </c>
      <c r="I37">
        <v>105</v>
      </c>
      <c r="J37">
        <v>100</v>
      </c>
      <c r="K37">
        <v>100</v>
      </c>
      <c r="L37">
        <v>100</v>
      </c>
      <c r="M37">
        <v>158114.63652299999</v>
      </c>
      <c r="N37">
        <v>19407.194696999999</v>
      </c>
      <c r="O37">
        <v>138444.03261600001</v>
      </c>
      <c r="P37">
        <v>263.40920999999997</v>
      </c>
      <c r="Q37">
        <v>276.59019999999998</v>
      </c>
      <c r="R37">
        <v>1000</v>
      </c>
      <c r="S37">
        <v>0.40705547918580437</v>
      </c>
    </row>
    <row r="38" spans="1:19" x14ac:dyDescent="0.2">
      <c r="A38" s="16" t="s">
        <v>5</v>
      </c>
      <c r="B38">
        <v>4</v>
      </c>
      <c r="C38">
        <v>8.5860500000000006E-2</v>
      </c>
      <c r="D38">
        <v>42304</v>
      </c>
      <c r="E38">
        <v>92.052800000000005</v>
      </c>
      <c r="F38">
        <v>51.680700000000002</v>
      </c>
      <c r="G38">
        <v>76.750699999999995</v>
      </c>
      <c r="H38">
        <v>23.249300000000002</v>
      </c>
      <c r="I38">
        <v>105</v>
      </c>
      <c r="J38">
        <v>100</v>
      </c>
      <c r="K38">
        <v>100</v>
      </c>
      <c r="L38">
        <v>100</v>
      </c>
      <c r="M38">
        <v>221310.62416100001</v>
      </c>
      <c r="N38">
        <v>39097.033726000001</v>
      </c>
      <c r="O38">
        <v>181652.77668499999</v>
      </c>
      <c r="P38">
        <v>560.81375000000003</v>
      </c>
      <c r="Q38">
        <v>260.74879600000003</v>
      </c>
      <c r="R38">
        <v>2000</v>
      </c>
      <c r="S38">
        <v>0.56142453026958439</v>
      </c>
    </row>
    <row r="39" spans="1:19" x14ac:dyDescent="0.2">
      <c r="A39" s="16" t="s">
        <v>9</v>
      </c>
      <c r="B39">
        <v>4</v>
      </c>
      <c r="C39">
        <v>6.6724169999999999E-3</v>
      </c>
      <c r="D39">
        <v>42304</v>
      </c>
      <c r="E39">
        <v>92.052800000000005</v>
      </c>
      <c r="F39">
        <v>37.362900000000003</v>
      </c>
      <c r="G39">
        <v>65.120800000000003</v>
      </c>
      <c r="H39">
        <v>34.879199999999997</v>
      </c>
      <c r="I39">
        <v>105</v>
      </c>
      <c r="J39">
        <v>100</v>
      </c>
      <c r="K39">
        <v>100</v>
      </c>
      <c r="L39">
        <v>100</v>
      </c>
      <c r="M39">
        <v>316494.70671100001</v>
      </c>
      <c r="N39">
        <v>39097.033726000001</v>
      </c>
      <c r="O39">
        <v>276872.931705</v>
      </c>
      <c r="P39">
        <v>524.74127999999996</v>
      </c>
      <c r="Q39">
        <v>280.13061099999999</v>
      </c>
      <c r="R39">
        <v>2000</v>
      </c>
      <c r="S39">
        <v>0.40588553525802584</v>
      </c>
    </row>
    <row r="40" spans="1:19" x14ac:dyDescent="0.2">
      <c r="A40" s="16" t="s">
        <v>9</v>
      </c>
      <c r="B40">
        <v>4</v>
      </c>
      <c r="C40">
        <v>6.9083340000000003E-3</v>
      </c>
      <c r="D40">
        <v>42304</v>
      </c>
      <c r="E40">
        <v>92.052800000000005</v>
      </c>
      <c r="F40">
        <v>37.268300000000004</v>
      </c>
      <c r="G40">
        <v>65.666600000000003</v>
      </c>
      <c r="H40">
        <v>34.333399999999997</v>
      </c>
      <c r="I40">
        <v>105</v>
      </c>
      <c r="J40">
        <v>100</v>
      </c>
      <c r="K40">
        <v>100</v>
      </c>
      <c r="L40">
        <v>100</v>
      </c>
      <c r="M40">
        <v>316216.933777</v>
      </c>
      <c r="N40">
        <v>39097.033726000001</v>
      </c>
      <c r="O40">
        <v>276593.33458099997</v>
      </c>
      <c r="P40">
        <v>526.56547</v>
      </c>
      <c r="Q40">
        <v>278.75890299999998</v>
      </c>
      <c r="R40">
        <v>2000</v>
      </c>
      <c r="S40">
        <v>0.40485786418229541</v>
      </c>
    </row>
    <row r="41" spans="1:19" x14ac:dyDescent="0.2">
      <c r="A41" s="16" t="s">
        <v>9</v>
      </c>
      <c r="B41">
        <v>4</v>
      </c>
      <c r="C41">
        <v>6.4300620000000003E-3</v>
      </c>
      <c r="D41">
        <v>42304</v>
      </c>
      <c r="E41">
        <v>92.052800000000005</v>
      </c>
      <c r="F41">
        <v>37.2849</v>
      </c>
      <c r="G41">
        <v>65.7072</v>
      </c>
      <c r="H41">
        <v>34.2928</v>
      </c>
      <c r="I41">
        <v>105</v>
      </c>
      <c r="J41">
        <v>100</v>
      </c>
      <c r="K41">
        <v>100</v>
      </c>
      <c r="L41">
        <v>100</v>
      </c>
      <c r="M41">
        <v>316448.64067499997</v>
      </c>
      <c r="N41">
        <v>39097.033726000001</v>
      </c>
      <c r="O41">
        <v>276824.79246899998</v>
      </c>
      <c r="P41">
        <v>526.81448</v>
      </c>
      <c r="Q41">
        <v>278.31592799999999</v>
      </c>
      <c r="R41">
        <v>2000</v>
      </c>
      <c r="S41">
        <v>0.40503819547042563</v>
      </c>
    </row>
    <row r="42" spans="1:19" x14ac:dyDescent="0.2">
      <c r="A42" s="16" t="s">
        <v>9</v>
      </c>
      <c r="B42">
        <v>4</v>
      </c>
      <c r="C42">
        <v>6.5514939999999997E-3</v>
      </c>
      <c r="D42">
        <v>42304</v>
      </c>
      <c r="E42">
        <v>92.052800000000005</v>
      </c>
      <c r="F42">
        <v>37.3889</v>
      </c>
      <c r="G42">
        <v>65.480199999999996</v>
      </c>
      <c r="H42">
        <v>34.519799999999996</v>
      </c>
      <c r="I42">
        <v>105</v>
      </c>
      <c r="J42">
        <v>100</v>
      </c>
      <c r="K42">
        <v>100</v>
      </c>
      <c r="L42">
        <v>100</v>
      </c>
      <c r="M42">
        <v>315790.41849499999</v>
      </c>
      <c r="N42">
        <v>39097.033726000001</v>
      </c>
      <c r="O42">
        <v>276167.02334900002</v>
      </c>
      <c r="P42">
        <v>526.36141999999995</v>
      </c>
      <c r="Q42">
        <v>279.69582500000001</v>
      </c>
      <c r="R42">
        <v>2000</v>
      </c>
      <c r="S42">
        <v>0.40616798185389252</v>
      </c>
    </row>
    <row r="43" spans="1:19" x14ac:dyDescent="0.2">
      <c r="A43" s="16" t="s">
        <v>9</v>
      </c>
      <c r="B43">
        <v>4</v>
      </c>
      <c r="C43">
        <v>6.660727E-3</v>
      </c>
      <c r="D43">
        <v>42304</v>
      </c>
      <c r="E43">
        <v>92.052800000000005</v>
      </c>
      <c r="F43">
        <v>37.306199999999997</v>
      </c>
      <c r="G43">
        <v>65.403599999999997</v>
      </c>
      <c r="H43">
        <v>34.596400000000003</v>
      </c>
      <c r="I43">
        <v>105</v>
      </c>
      <c r="J43">
        <v>100</v>
      </c>
      <c r="K43">
        <v>100</v>
      </c>
      <c r="L43">
        <v>100</v>
      </c>
      <c r="M43">
        <v>316428.10412500001</v>
      </c>
      <c r="N43">
        <v>39097.033726000001</v>
      </c>
      <c r="O43">
        <v>276804.95552900003</v>
      </c>
      <c r="P43">
        <v>526.11487</v>
      </c>
      <c r="Q43">
        <v>279.64615500000002</v>
      </c>
      <c r="R43">
        <v>2000</v>
      </c>
      <c r="S43">
        <v>0.40526958441242411</v>
      </c>
    </row>
    <row r="44" spans="1:19" x14ac:dyDescent="0.2">
      <c r="A44" s="16" t="s">
        <v>9</v>
      </c>
      <c r="B44">
        <v>4</v>
      </c>
      <c r="C44">
        <v>6.8053360000000004E-3</v>
      </c>
      <c r="D44">
        <v>42304</v>
      </c>
      <c r="E44">
        <v>92.052800000000005</v>
      </c>
      <c r="F44">
        <v>37.292000000000002</v>
      </c>
      <c r="G44">
        <v>65.669399999999996</v>
      </c>
      <c r="H44">
        <v>34.330599999999997</v>
      </c>
      <c r="I44">
        <v>105</v>
      </c>
      <c r="J44">
        <v>100</v>
      </c>
      <c r="K44">
        <v>100</v>
      </c>
      <c r="L44">
        <v>100</v>
      </c>
      <c r="M44">
        <v>316042.84651200002</v>
      </c>
      <c r="N44">
        <v>39097.033726000001</v>
      </c>
      <c r="O44">
        <v>276419.99701599998</v>
      </c>
      <c r="P44">
        <v>525.81577000000004</v>
      </c>
      <c r="Q44">
        <v>279.04091899999997</v>
      </c>
      <c r="R44">
        <v>2000</v>
      </c>
      <c r="S44">
        <v>0.4051153251177585</v>
      </c>
    </row>
    <row r="45" spans="1:19" x14ac:dyDescent="0.2">
      <c r="A45" s="16" t="s">
        <v>9</v>
      </c>
      <c r="B45">
        <v>4</v>
      </c>
      <c r="C45">
        <v>6.7025390000000004E-3</v>
      </c>
      <c r="D45">
        <v>42304</v>
      </c>
      <c r="E45">
        <v>92.052800000000005</v>
      </c>
      <c r="F45">
        <v>37.261299999999999</v>
      </c>
      <c r="G45">
        <v>65.571299999999994</v>
      </c>
      <c r="H45">
        <v>34.428699999999999</v>
      </c>
      <c r="I45">
        <v>105</v>
      </c>
      <c r="J45">
        <v>100</v>
      </c>
      <c r="K45">
        <v>100</v>
      </c>
      <c r="L45">
        <v>100</v>
      </c>
      <c r="M45">
        <v>317488.50891700003</v>
      </c>
      <c r="N45">
        <v>39097.033726000001</v>
      </c>
      <c r="O45">
        <v>277865.60038100003</v>
      </c>
      <c r="P45">
        <v>525.87481000000002</v>
      </c>
      <c r="Q45">
        <v>279.12377600000002</v>
      </c>
      <c r="R45">
        <v>2000</v>
      </c>
      <c r="S45">
        <v>0.40478182086802356</v>
      </c>
    </row>
    <row r="46" spans="1:19" x14ac:dyDescent="0.2">
      <c r="A46" s="16" t="s">
        <v>9</v>
      </c>
      <c r="B46">
        <v>4</v>
      </c>
      <c r="C46">
        <v>6.6506869999999997E-3</v>
      </c>
      <c r="D46">
        <v>42304</v>
      </c>
      <c r="E46">
        <v>92.052800000000005</v>
      </c>
      <c r="F46">
        <v>37.618200000000002</v>
      </c>
      <c r="G46">
        <v>65.583799999999997</v>
      </c>
      <c r="H46">
        <v>34.416200000000003</v>
      </c>
      <c r="I46">
        <v>105</v>
      </c>
      <c r="J46">
        <v>100</v>
      </c>
      <c r="K46">
        <v>100</v>
      </c>
      <c r="L46">
        <v>100</v>
      </c>
      <c r="M46">
        <v>314831.03932500002</v>
      </c>
      <c r="N46">
        <v>39097.033726000001</v>
      </c>
      <c r="O46">
        <v>275207.31884899997</v>
      </c>
      <c r="P46">
        <v>526.68674999999996</v>
      </c>
      <c r="Q46">
        <v>279.20935700000001</v>
      </c>
      <c r="R46">
        <v>2000</v>
      </c>
      <c r="S46">
        <v>0.40865894356282478</v>
      </c>
    </row>
    <row r="47" spans="1:19" x14ac:dyDescent="0.2">
      <c r="A47" s="16" t="s">
        <v>9</v>
      </c>
      <c r="B47">
        <v>4</v>
      </c>
      <c r="C47">
        <v>6.5311070000000004E-3</v>
      </c>
      <c r="D47">
        <v>42304</v>
      </c>
      <c r="E47">
        <v>92.052800000000005</v>
      </c>
      <c r="F47">
        <v>37.247100000000003</v>
      </c>
      <c r="G47">
        <v>65.615300000000005</v>
      </c>
      <c r="H47">
        <v>34.384700000000002</v>
      </c>
      <c r="I47">
        <v>105</v>
      </c>
      <c r="J47">
        <v>100</v>
      </c>
      <c r="K47">
        <v>100</v>
      </c>
      <c r="L47">
        <v>100</v>
      </c>
      <c r="M47">
        <v>316353.93405400001</v>
      </c>
      <c r="N47">
        <v>39097.033726000001</v>
      </c>
      <c r="O47">
        <v>276730.25231800001</v>
      </c>
      <c r="P47">
        <v>526.64801</v>
      </c>
      <c r="Q47">
        <v>279.13574399999999</v>
      </c>
      <c r="R47">
        <v>2000</v>
      </c>
      <c r="S47">
        <v>0.40462756157335789</v>
      </c>
    </row>
    <row r="48" spans="1:19" x14ac:dyDescent="0.2">
      <c r="A48" s="16" t="s">
        <v>9</v>
      </c>
      <c r="B48">
        <v>4</v>
      </c>
      <c r="C48">
        <v>6.5700940000000003E-3</v>
      </c>
      <c r="D48">
        <v>42304</v>
      </c>
      <c r="E48">
        <v>92.052800000000005</v>
      </c>
      <c r="F48">
        <v>37.556699999999999</v>
      </c>
      <c r="G48">
        <v>65.451899999999995</v>
      </c>
      <c r="H48">
        <v>34.548099999999998</v>
      </c>
      <c r="I48">
        <v>105</v>
      </c>
      <c r="J48">
        <v>100</v>
      </c>
      <c r="K48">
        <v>100</v>
      </c>
      <c r="L48">
        <v>100</v>
      </c>
      <c r="M48">
        <v>315645.78515800001</v>
      </c>
      <c r="N48">
        <v>39097.033726000001</v>
      </c>
      <c r="O48">
        <v>276022.736102</v>
      </c>
      <c r="P48">
        <v>526.01532999999995</v>
      </c>
      <c r="Q48">
        <v>279.78972199999998</v>
      </c>
      <c r="R48">
        <v>2000</v>
      </c>
      <c r="S48">
        <v>0.4079908487302939</v>
      </c>
    </row>
    <row r="49" spans="1:19" x14ac:dyDescent="0.2">
      <c r="A49" s="16" t="s">
        <v>9</v>
      </c>
      <c r="B49">
        <v>4</v>
      </c>
      <c r="C49">
        <v>6.4457840000000004E-3</v>
      </c>
      <c r="D49">
        <v>42304</v>
      </c>
      <c r="E49">
        <v>92.052800000000005</v>
      </c>
      <c r="F49">
        <v>37.533099999999997</v>
      </c>
      <c r="G49">
        <v>65.593900000000005</v>
      </c>
      <c r="H49">
        <v>34.406100000000002</v>
      </c>
      <c r="I49">
        <v>105</v>
      </c>
      <c r="J49">
        <v>100</v>
      </c>
      <c r="K49">
        <v>100</v>
      </c>
      <c r="L49">
        <v>100</v>
      </c>
      <c r="M49">
        <v>315365.22867400001</v>
      </c>
      <c r="N49">
        <v>39097.033726000001</v>
      </c>
      <c r="O49">
        <v>275743.33373800002</v>
      </c>
      <c r="P49">
        <v>524.86121000000003</v>
      </c>
      <c r="Q49">
        <v>279.04852</v>
      </c>
      <c r="R49">
        <v>2000</v>
      </c>
      <c r="S49">
        <v>0.40773447412789177</v>
      </c>
    </row>
    <row r="50" spans="1:19" x14ac:dyDescent="0.2">
      <c r="A50" s="16" t="s">
        <v>9</v>
      </c>
      <c r="B50">
        <v>4</v>
      </c>
      <c r="C50">
        <v>6.5647370000000002E-3</v>
      </c>
      <c r="D50">
        <v>42304</v>
      </c>
      <c r="E50">
        <v>92.052800000000005</v>
      </c>
      <c r="F50">
        <v>37.3416</v>
      </c>
      <c r="G50">
        <v>65.385800000000003</v>
      </c>
      <c r="H50">
        <v>34.614199999999997</v>
      </c>
      <c r="I50">
        <v>105</v>
      </c>
      <c r="J50">
        <v>100</v>
      </c>
      <c r="K50">
        <v>100</v>
      </c>
      <c r="L50">
        <v>100</v>
      </c>
      <c r="M50">
        <v>316225.54330899997</v>
      </c>
      <c r="N50">
        <v>39097.033726000001</v>
      </c>
      <c r="O50">
        <v>276602.91420300002</v>
      </c>
      <c r="P50">
        <v>525.59537999999998</v>
      </c>
      <c r="Q50">
        <v>279.283142</v>
      </c>
      <c r="R50">
        <v>2000</v>
      </c>
      <c r="S50">
        <v>0.40565414631602731</v>
      </c>
    </row>
    <row r="51" spans="1:19" x14ac:dyDescent="0.2">
      <c r="A51" s="16" t="s">
        <v>9</v>
      </c>
      <c r="B51">
        <v>4</v>
      </c>
      <c r="C51">
        <v>6.7782729999999996E-3</v>
      </c>
      <c r="D51">
        <v>42304</v>
      </c>
      <c r="E51">
        <v>92.052800000000005</v>
      </c>
      <c r="F51">
        <v>37.1218</v>
      </c>
      <c r="G51">
        <v>65.613900000000001</v>
      </c>
      <c r="H51">
        <v>34.386099999999999</v>
      </c>
      <c r="I51">
        <v>105</v>
      </c>
      <c r="J51">
        <v>100</v>
      </c>
      <c r="K51">
        <v>100</v>
      </c>
      <c r="L51">
        <v>100</v>
      </c>
      <c r="M51">
        <v>316479.22078099998</v>
      </c>
      <c r="N51">
        <v>39097.033726000001</v>
      </c>
      <c r="O51">
        <v>276856.77534499997</v>
      </c>
      <c r="P51">
        <v>525.41170999999997</v>
      </c>
      <c r="Q51">
        <v>279.031588</v>
      </c>
      <c r="R51">
        <v>2000</v>
      </c>
      <c r="S51">
        <v>0.40326638624789252</v>
      </c>
    </row>
    <row r="52" spans="1:19" x14ac:dyDescent="0.2">
      <c r="A52" s="16" t="s">
        <v>9</v>
      </c>
      <c r="B52">
        <v>4</v>
      </c>
      <c r="C52">
        <v>6.9778239999999997E-3</v>
      </c>
      <c r="D52">
        <v>42304</v>
      </c>
      <c r="E52">
        <v>92.052800000000005</v>
      </c>
      <c r="F52">
        <v>37.421999999999997</v>
      </c>
      <c r="G52">
        <v>65.731800000000007</v>
      </c>
      <c r="H52">
        <v>34.2682</v>
      </c>
      <c r="I52">
        <v>105</v>
      </c>
      <c r="J52">
        <v>100</v>
      </c>
      <c r="K52">
        <v>100</v>
      </c>
      <c r="L52">
        <v>100</v>
      </c>
      <c r="M52">
        <v>315052.54127599997</v>
      </c>
      <c r="N52">
        <v>39097.033726000001</v>
      </c>
      <c r="O52">
        <v>275429.83785000001</v>
      </c>
      <c r="P52">
        <v>525.66970000000003</v>
      </c>
      <c r="Q52">
        <v>279.11058500000001</v>
      </c>
      <c r="R52">
        <v>2000</v>
      </c>
      <c r="S52">
        <v>0.40652755809709207</v>
      </c>
    </row>
    <row r="53" spans="1:19" x14ac:dyDescent="0.2">
      <c r="A53" s="16" t="s">
        <v>9</v>
      </c>
      <c r="B53">
        <v>4</v>
      </c>
      <c r="C53">
        <v>6.8741760000000001E-3</v>
      </c>
      <c r="D53">
        <v>42304</v>
      </c>
      <c r="E53">
        <v>92.052800000000005</v>
      </c>
      <c r="F53">
        <v>37.580399999999997</v>
      </c>
      <c r="G53">
        <v>65.524000000000001</v>
      </c>
      <c r="H53">
        <v>34.475999999999999</v>
      </c>
      <c r="I53">
        <v>105</v>
      </c>
      <c r="J53">
        <v>100</v>
      </c>
      <c r="K53">
        <v>100</v>
      </c>
      <c r="L53">
        <v>100</v>
      </c>
      <c r="M53">
        <v>315633.12275500002</v>
      </c>
      <c r="N53">
        <v>39097.033726000001</v>
      </c>
      <c r="O53">
        <v>276009.43786900002</v>
      </c>
      <c r="P53">
        <v>526.65116</v>
      </c>
      <c r="Q53">
        <v>279.77420100000001</v>
      </c>
      <c r="R53">
        <v>2000</v>
      </c>
      <c r="S53">
        <v>0.40824830966575698</v>
      </c>
    </row>
    <row r="54" spans="1:19" x14ac:dyDescent="0.2">
      <c r="A54" s="16" t="s">
        <v>9</v>
      </c>
      <c r="B54">
        <v>4</v>
      </c>
      <c r="C54">
        <v>6.5818079999999998E-3</v>
      </c>
      <c r="D54">
        <v>42304</v>
      </c>
      <c r="E54">
        <v>92.052800000000005</v>
      </c>
      <c r="F54">
        <v>37.455100000000002</v>
      </c>
      <c r="G54">
        <v>65.705299999999994</v>
      </c>
      <c r="H54">
        <v>34.294699999999999</v>
      </c>
      <c r="I54">
        <v>105</v>
      </c>
      <c r="J54">
        <v>100</v>
      </c>
      <c r="K54">
        <v>100</v>
      </c>
      <c r="L54">
        <v>100</v>
      </c>
      <c r="M54">
        <v>314916.50020200002</v>
      </c>
      <c r="N54">
        <v>39097.033726000001</v>
      </c>
      <c r="O54">
        <v>275292.54259600001</v>
      </c>
      <c r="P54">
        <v>526.92388000000005</v>
      </c>
      <c r="Q54">
        <v>278.71822300000002</v>
      </c>
      <c r="R54">
        <v>2000</v>
      </c>
      <c r="S54">
        <v>0.40688713434029167</v>
      </c>
    </row>
    <row r="55" spans="1:19" x14ac:dyDescent="0.2">
      <c r="A55" s="16" t="s">
        <v>9</v>
      </c>
      <c r="B55">
        <v>4</v>
      </c>
      <c r="C55">
        <v>7.3799820000000002E-3</v>
      </c>
      <c r="D55">
        <v>42304</v>
      </c>
      <c r="E55">
        <v>92.052800000000005</v>
      </c>
      <c r="F55">
        <v>37.466900000000003</v>
      </c>
      <c r="G55">
        <v>65.192400000000006</v>
      </c>
      <c r="H55">
        <v>34.807600000000001</v>
      </c>
      <c r="I55">
        <v>105</v>
      </c>
      <c r="J55">
        <v>100</v>
      </c>
      <c r="K55">
        <v>100</v>
      </c>
      <c r="L55">
        <v>100</v>
      </c>
      <c r="M55">
        <v>315434.84628900001</v>
      </c>
      <c r="N55">
        <v>39097.033726000001</v>
      </c>
      <c r="O55">
        <v>275811.95009300002</v>
      </c>
      <c r="P55">
        <v>525.86247000000003</v>
      </c>
      <c r="Q55">
        <v>280.34594499999997</v>
      </c>
      <c r="R55">
        <v>2000</v>
      </c>
      <c r="S55">
        <v>0.40701532164149273</v>
      </c>
    </row>
    <row r="56" spans="1:19" x14ac:dyDescent="0.2">
      <c r="A56" s="16" t="s">
        <v>9</v>
      </c>
      <c r="B56">
        <v>4</v>
      </c>
      <c r="C56">
        <v>6.6450179999999999E-3</v>
      </c>
      <c r="D56">
        <v>42304</v>
      </c>
      <c r="E56">
        <v>92.052800000000005</v>
      </c>
      <c r="F56">
        <v>37.232900000000001</v>
      </c>
      <c r="G56">
        <v>65.856099999999998</v>
      </c>
      <c r="H56">
        <v>34.143900000000002</v>
      </c>
      <c r="I56">
        <v>105</v>
      </c>
      <c r="J56">
        <v>100</v>
      </c>
      <c r="K56">
        <v>100</v>
      </c>
      <c r="L56">
        <v>100</v>
      </c>
      <c r="M56">
        <v>315983.96250999998</v>
      </c>
      <c r="N56">
        <v>39097.033726000001</v>
      </c>
      <c r="O56">
        <v>276359.65715400001</v>
      </c>
      <c r="P56">
        <v>527.27162999999996</v>
      </c>
      <c r="Q56">
        <v>277.92854299999999</v>
      </c>
      <c r="R56">
        <v>2000</v>
      </c>
      <c r="S56">
        <v>0.40447330227869221</v>
      </c>
    </row>
    <row r="57" spans="1:19" x14ac:dyDescent="0.2">
      <c r="A57" s="16" t="s">
        <v>9</v>
      </c>
      <c r="B57">
        <v>4</v>
      </c>
      <c r="C57">
        <v>6.468896E-3</v>
      </c>
      <c r="D57">
        <v>42304</v>
      </c>
      <c r="E57">
        <v>92.052800000000005</v>
      </c>
      <c r="F57">
        <v>37.1738</v>
      </c>
      <c r="G57">
        <v>65.197800000000001</v>
      </c>
      <c r="H57">
        <v>34.802199999999999</v>
      </c>
      <c r="I57">
        <v>105</v>
      </c>
      <c r="J57">
        <v>100</v>
      </c>
      <c r="K57">
        <v>100</v>
      </c>
      <c r="L57">
        <v>100</v>
      </c>
      <c r="M57">
        <v>316776.42776599998</v>
      </c>
      <c r="N57">
        <v>39097.033726000001</v>
      </c>
      <c r="O57">
        <v>277153.68758999999</v>
      </c>
      <c r="P57">
        <v>525.70645000000002</v>
      </c>
      <c r="Q57">
        <v>280.09261299999997</v>
      </c>
      <c r="R57">
        <v>2000</v>
      </c>
      <c r="S57">
        <v>0.40383127943962593</v>
      </c>
    </row>
    <row r="58" spans="1:19" x14ac:dyDescent="0.2">
      <c r="A58" s="16" t="s">
        <v>9</v>
      </c>
      <c r="B58">
        <v>4</v>
      </c>
      <c r="C58">
        <v>6.7360409999999999E-3</v>
      </c>
      <c r="D58">
        <v>42304</v>
      </c>
      <c r="E58">
        <v>92.052800000000005</v>
      </c>
      <c r="F58">
        <v>37.265999999999998</v>
      </c>
      <c r="G58">
        <v>65.3536</v>
      </c>
      <c r="H58">
        <v>34.6464</v>
      </c>
      <c r="I58">
        <v>105</v>
      </c>
      <c r="J58">
        <v>100</v>
      </c>
      <c r="K58">
        <v>100</v>
      </c>
      <c r="L58">
        <v>100</v>
      </c>
      <c r="M58">
        <v>316301.07955600001</v>
      </c>
      <c r="N58">
        <v>39097.033726000001</v>
      </c>
      <c r="O58">
        <v>276677.96353000001</v>
      </c>
      <c r="P58">
        <v>526.08230000000003</v>
      </c>
      <c r="Q58">
        <v>280.02615900000001</v>
      </c>
      <c r="R58">
        <v>2000</v>
      </c>
      <c r="S58">
        <v>0.40483287852189176</v>
      </c>
    </row>
    <row r="59" spans="1:19" x14ac:dyDescent="0.2">
      <c r="A59" s="16" t="s">
        <v>9</v>
      </c>
      <c r="B59">
        <v>4</v>
      </c>
      <c r="C59">
        <v>6.6522880000000001E-3</v>
      </c>
      <c r="D59">
        <v>42304</v>
      </c>
      <c r="E59">
        <v>92.052800000000005</v>
      </c>
      <c r="F59">
        <v>37.310899999999997</v>
      </c>
      <c r="G59">
        <v>65.794499999999999</v>
      </c>
      <c r="H59">
        <v>34.205500000000001</v>
      </c>
      <c r="I59">
        <v>105</v>
      </c>
      <c r="J59">
        <v>100</v>
      </c>
      <c r="K59">
        <v>100</v>
      </c>
      <c r="L59">
        <v>100</v>
      </c>
      <c r="M59">
        <v>315709.91196400003</v>
      </c>
      <c r="N59">
        <v>39097.033726000001</v>
      </c>
      <c r="O59">
        <v>276085.57964800001</v>
      </c>
      <c r="P59">
        <v>527.29858999999999</v>
      </c>
      <c r="Q59">
        <v>278.50136400000002</v>
      </c>
      <c r="R59">
        <v>2000</v>
      </c>
      <c r="S59">
        <v>0.40532064206629231</v>
      </c>
    </row>
    <row r="60" spans="1:19" x14ac:dyDescent="0.2">
      <c r="A60" s="16" t="s">
        <v>9</v>
      </c>
      <c r="B60">
        <v>4</v>
      </c>
      <c r="C60">
        <v>6.4117999999999996E-3</v>
      </c>
      <c r="D60">
        <v>42304</v>
      </c>
      <c r="E60">
        <v>92.052800000000005</v>
      </c>
      <c r="F60">
        <v>37.3369</v>
      </c>
      <c r="G60">
        <v>65.584000000000003</v>
      </c>
      <c r="H60">
        <v>34.415999999999997</v>
      </c>
      <c r="I60">
        <v>105</v>
      </c>
      <c r="J60">
        <v>100</v>
      </c>
      <c r="K60">
        <v>100</v>
      </c>
      <c r="L60">
        <v>100</v>
      </c>
      <c r="M60">
        <v>315903.89246300003</v>
      </c>
      <c r="N60">
        <v>39097.033726000001</v>
      </c>
      <c r="O60">
        <v>276280.66130699997</v>
      </c>
      <c r="P60">
        <v>526.19743000000005</v>
      </c>
      <c r="Q60">
        <v>278.78925800000002</v>
      </c>
      <c r="R60">
        <v>2000</v>
      </c>
      <c r="S60">
        <v>0.40560308866215911</v>
      </c>
    </row>
    <row r="61" spans="1:19" x14ac:dyDescent="0.2">
      <c r="A61" s="16" t="s">
        <v>9</v>
      </c>
      <c r="B61">
        <v>4</v>
      </c>
      <c r="C61">
        <v>7.3030430000000004E-3</v>
      </c>
      <c r="D61">
        <v>42304</v>
      </c>
      <c r="E61">
        <v>92.052800000000005</v>
      </c>
      <c r="F61">
        <v>37.358199999999997</v>
      </c>
      <c r="G61">
        <v>65.616299999999995</v>
      </c>
      <c r="H61">
        <v>34.383699999999997</v>
      </c>
      <c r="I61">
        <v>105</v>
      </c>
      <c r="J61">
        <v>100</v>
      </c>
      <c r="K61">
        <v>100</v>
      </c>
      <c r="L61">
        <v>100</v>
      </c>
      <c r="M61">
        <v>316794.697544</v>
      </c>
      <c r="N61">
        <v>39097.033726000001</v>
      </c>
      <c r="O61">
        <v>277171.594408</v>
      </c>
      <c r="P61">
        <v>526.06940999999995</v>
      </c>
      <c r="Q61">
        <v>278.82186200000001</v>
      </c>
      <c r="R61">
        <v>2000</v>
      </c>
      <c r="S61">
        <v>0.40583447760415753</v>
      </c>
    </row>
    <row r="62" spans="1:19" x14ac:dyDescent="0.2">
      <c r="A62" s="16" t="s">
        <v>9</v>
      </c>
      <c r="B62">
        <v>4</v>
      </c>
      <c r="C62">
        <v>6.5243009999999997E-3</v>
      </c>
      <c r="D62">
        <v>42304</v>
      </c>
      <c r="E62">
        <v>92.052800000000005</v>
      </c>
      <c r="F62">
        <v>37.554400000000001</v>
      </c>
      <c r="G62">
        <v>65.512699999999995</v>
      </c>
      <c r="H62">
        <v>34.487299999999998</v>
      </c>
      <c r="I62">
        <v>105</v>
      </c>
      <c r="J62">
        <v>100</v>
      </c>
      <c r="K62">
        <v>100</v>
      </c>
      <c r="L62">
        <v>100</v>
      </c>
      <c r="M62">
        <v>315222.56716600002</v>
      </c>
      <c r="N62">
        <v>39097.033726000001</v>
      </c>
      <c r="O62">
        <v>275598.77032000001</v>
      </c>
      <c r="P62">
        <v>526.76311999999996</v>
      </c>
      <c r="Q62">
        <v>279.911294</v>
      </c>
      <c r="R62">
        <v>2000</v>
      </c>
      <c r="S62">
        <v>0.4079658630698903</v>
      </c>
    </row>
    <row r="63" spans="1:19" x14ac:dyDescent="0.2">
      <c r="A63" s="16" t="s">
        <v>9</v>
      </c>
      <c r="B63">
        <v>4</v>
      </c>
      <c r="C63">
        <v>6.7021650000000004E-3</v>
      </c>
      <c r="D63">
        <v>42304</v>
      </c>
      <c r="E63">
        <v>92.052800000000005</v>
      </c>
      <c r="F63">
        <v>37.613500000000002</v>
      </c>
      <c r="G63">
        <v>65.585700000000003</v>
      </c>
      <c r="H63">
        <v>34.414299999999997</v>
      </c>
      <c r="I63">
        <v>105</v>
      </c>
      <c r="J63">
        <v>100</v>
      </c>
      <c r="K63">
        <v>100</v>
      </c>
      <c r="L63">
        <v>100</v>
      </c>
      <c r="M63">
        <v>316203.71994600003</v>
      </c>
      <c r="N63">
        <v>39097.033726000001</v>
      </c>
      <c r="O63">
        <v>276580.69111000001</v>
      </c>
      <c r="P63">
        <v>525.99510999999995</v>
      </c>
      <c r="Q63">
        <v>279.30839099999997</v>
      </c>
      <c r="R63">
        <v>2000</v>
      </c>
      <c r="S63">
        <v>0.40860788590895658</v>
      </c>
    </row>
    <row r="64" spans="1:19" x14ac:dyDescent="0.2">
      <c r="A64" s="16" t="s">
        <v>9</v>
      </c>
      <c r="B64">
        <v>4</v>
      </c>
      <c r="C64">
        <v>6.6153180000000002E-3</v>
      </c>
      <c r="D64">
        <v>42304</v>
      </c>
      <c r="E64">
        <v>92.052800000000005</v>
      </c>
      <c r="F64">
        <v>37.5047</v>
      </c>
      <c r="G64">
        <v>65.643500000000003</v>
      </c>
      <c r="H64">
        <v>34.356499999999997</v>
      </c>
      <c r="I64">
        <v>105</v>
      </c>
      <c r="J64">
        <v>100</v>
      </c>
      <c r="K64">
        <v>100</v>
      </c>
      <c r="L64">
        <v>100</v>
      </c>
      <c r="M64">
        <v>315619.93354100001</v>
      </c>
      <c r="N64">
        <v>39097.033726000001</v>
      </c>
      <c r="O64">
        <v>275997.27664499998</v>
      </c>
      <c r="P64">
        <v>525.62316999999996</v>
      </c>
      <c r="Q64">
        <v>279.12267900000001</v>
      </c>
      <c r="R64">
        <v>2000</v>
      </c>
      <c r="S64">
        <v>0.40742595553856048</v>
      </c>
    </row>
    <row r="65" spans="1:19" x14ac:dyDescent="0.2">
      <c r="A65" s="16" t="s">
        <v>9</v>
      </c>
      <c r="B65">
        <v>4</v>
      </c>
      <c r="C65">
        <v>6.5201640000000002E-3</v>
      </c>
      <c r="D65">
        <v>42304</v>
      </c>
      <c r="E65">
        <v>92.052800000000005</v>
      </c>
      <c r="F65">
        <v>37.476399999999998</v>
      </c>
      <c r="G65">
        <v>65.9392</v>
      </c>
      <c r="H65">
        <v>34.0608</v>
      </c>
      <c r="I65">
        <v>105</v>
      </c>
      <c r="J65">
        <v>100</v>
      </c>
      <c r="K65">
        <v>100</v>
      </c>
      <c r="L65">
        <v>100</v>
      </c>
      <c r="M65">
        <v>315719.979827</v>
      </c>
      <c r="N65">
        <v>39097.033726000001</v>
      </c>
      <c r="O65">
        <v>276096.45626100001</v>
      </c>
      <c r="P65">
        <v>526.48983999999996</v>
      </c>
      <c r="Q65">
        <v>278.226181</v>
      </c>
      <c r="R65">
        <v>2000</v>
      </c>
      <c r="S65">
        <v>0.40711852328229015</v>
      </c>
    </row>
    <row r="66" spans="1:19" x14ac:dyDescent="0.2">
      <c r="A66" s="16" t="s">
        <v>9</v>
      </c>
      <c r="B66">
        <v>4</v>
      </c>
      <c r="C66">
        <v>6.8195859999999999E-3</v>
      </c>
      <c r="D66">
        <v>42304</v>
      </c>
      <c r="E66">
        <v>92.052800000000005</v>
      </c>
      <c r="F66">
        <v>37.530700000000003</v>
      </c>
      <c r="G66">
        <v>65.705100000000002</v>
      </c>
      <c r="H66">
        <v>34.294899999999998</v>
      </c>
      <c r="I66">
        <v>105</v>
      </c>
      <c r="J66">
        <v>100</v>
      </c>
      <c r="K66">
        <v>100</v>
      </c>
      <c r="L66">
        <v>100</v>
      </c>
      <c r="M66">
        <v>315476.30169599998</v>
      </c>
      <c r="N66">
        <v>39097.033726000001</v>
      </c>
      <c r="O66">
        <v>275853.77036999998</v>
      </c>
      <c r="P66">
        <v>525.49760000000003</v>
      </c>
      <c r="Q66">
        <v>278.66330499999998</v>
      </c>
      <c r="R66">
        <v>2000</v>
      </c>
      <c r="S66">
        <v>0.40770840213442722</v>
      </c>
    </row>
    <row r="67" spans="1:19" x14ac:dyDescent="0.2">
      <c r="A67" s="16" t="s">
        <v>9</v>
      </c>
      <c r="B67">
        <v>4</v>
      </c>
      <c r="C67">
        <v>6.7108439999999997E-3</v>
      </c>
      <c r="D67">
        <v>42304</v>
      </c>
      <c r="E67">
        <v>92.052800000000005</v>
      </c>
      <c r="F67">
        <v>37.322699999999998</v>
      </c>
      <c r="G67">
        <v>65.799000000000007</v>
      </c>
      <c r="H67">
        <v>34.201000000000001</v>
      </c>
      <c r="I67">
        <v>105</v>
      </c>
      <c r="J67">
        <v>100</v>
      </c>
      <c r="K67">
        <v>100</v>
      </c>
      <c r="L67">
        <v>100</v>
      </c>
      <c r="M67">
        <v>316274.830946</v>
      </c>
      <c r="N67">
        <v>39097.033726000001</v>
      </c>
      <c r="O67">
        <v>276652.05822000001</v>
      </c>
      <c r="P67">
        <v>525.73900000000003</v>
      </c>
      <c r="Q67">
        <v>277.88622400000003</v>
      </c>
      <c r="R67">
        <v>2000</v>
      </c>
      <c r="S67">
        <v>0.40544882936749338</v>
      </c>
    </row>
    <row r="68" spans="1:19" x14ac:dyDescent="0.2">
      <c r="A68" s="16" t="s">
        <v>9</v>
      </c>
      <c r="B68">
        <v>4</v>
      </c>
      <c r="C68">
        <v>6.6203030000000001E-3</v>
      </c>
      <c r="D68">
        <v>42304</v>
      </c>
      <c r="E68">
        <v>92.052800000000005</v>
      </c>
      <c r="F68">
        <v>37.091099999999997</v>
      </c>
      <c r="G68">
        <v>65.241200000000006</v>
      </c>
      <c r="H68">
        <v>34.758800000000001</v>
      </c>
      <c r="I68">
        <v>105</v>
      </c>
      <c r="J68">
        <v>100</v>
      </c>
      <c r="K68">
        <v>100</v>
      </c>
      <c r="L68">
        <v>100</v>
      </c>
      <c r="M68">
        <v>317159.93872899999</v>
      </c>
      <c r="N68">
        <v>39097.033726000001</v>
      </c>
      <c r="O68">
        <v>277538.38303299999</v>
      </c>
      <c r="P68">
        <v>524.52197000000001</v>
      </c>
      <c r="Q68">
        <v>279.66898099999997</v>
      </c>
      <c r="R68">
        <v>2000</v>
      </c>
      <c r="S68">
        <v>0.40293288199815752</v>
      </c>
    </row>
    <row r="69" spans="1:19" x14ac:dyDescent="0.2">
      <c r="A69" s="16" t="s">
        <v>9</v>
      </c>
      <c r="B69">
        <v>4</v>
      </c>
      <c r="C69">
        <v>6.9685939999999998E-3</v>
      </c>
      <c r="D69">
        <v>42304</v>
      </c>
      <c r="E69">
        <v>92.052800000000005</v>
      </c>
      <c r="F69">
        <v>37.358199999999997</v>
      </c>
      <c r="G69">
        <v>65.907399999999996</v>
      </c>
      <c r="H69">
        <v>34.092599999999997</v>
      </c>
      <c r="I69">
        <v>105</v>
      </c>
      <c r="J69">
        <v>100</v>
      </c>
      <c r="K69">
        <v>100</v>
      </c>
      <c r="L69">
        <v>100</v>
      </c>
      <c r="M69">
        <v>315639.77029199997</v>
      </c>
      <c r="N69">
        <v>39097.033726000001</v>
      </c>
      <c r="O69">
        <v>276016.69337599998</v>
      </c>
      <c r="P69">
        <v>526.04318999999998</v>
      </c>
      <c r="Q69">
        <v>278.25713500000001</v>
      </c>
      <c r="R69">
        <v>2000</v>
      </c>
      <c r="S69">
        <v>0.40583447760415753</v>
      </c>
    </row>
    <row r="70" spans="1:19" x14ac:dyDescent="0.2">
      <c r="A70" s="16" t="s">
        <v>9</v>
      </c>
      <c r="B70">
        <v>4</v>
      </c>
      <c r="C70">
        <v>6.438165E-3</v>
      </c>
      <c r="D70">
        <v>42304</v>
      </c>
      <c r="E70">
        <v>92.052800000000005</v>
      </c>
      <c r="F70">
        <v>37.188000000000002</v>
      </c>
      <c r="G70">
        <v>65.973799999999997</v>
      </c>
      <c r="H70">
        <v>34.026200000000003</v>
      </c>
      <c r="I70">
        <v>105</v>
      </c>
      <c r="J70">
        <v>100</v>
      </c>
      <c r="K70">
        <v>100</v>
      </c>
      <c r="L70">
        <v>100</v>
      </c>
      <c r="M70">
        <v>317021.13352799998</v>
      </c>
      <c r="N70">
        <v>39097.033726000001</v>
      </c>
      <c r="O70">
        <v>277398.37854200002</v>
      </c>
      <c r="P70">
        <v>525.72126000000003</v>
      </c>
      <c r="Q70">
        <v>278.24039099999999</v>
      </c>
      <c r="R70">
        <v>2000</v>
      </c>
      <c r="S70">
        <v>0.4039855387342916</v>
      </c>
    </row>
    <row r="71" spans="1:19" x14ac:dyDescent="0.2">
      <c r="A71" s="16" t="s">
        <v>9</v>
      </c>
      <c r="B71">
        <v>4</v>
      </c>
      <c r="C71">
        <v>6.5318349999999997E-3</v>
      </c>
      <c r="D71">
        <v>42304</v>
      </c>
      <c r="E71">
        <v>92.052800000000005</v>
      </c>
      <c r="F71">
        <v>37.424399999999999</v>
      </c>
      <c r="G71">
        <v>65.715000000000003</v>
      </c>
      <c r="H71">
        <v>34.284999999999997</v>
      </c>
      <c r="I71">
        <v>105</v>
      </c>
      <c r="J71">
        <v>100</v>
      </c>
      <c r="K71">
        <v>100</v>
      </c>
      <c r="L71">
        <v>100</v>
      </c>
      <c r="M71">
        <v>316422.31111000001</v>
      </c>
      <c r="N71">
        <v>39097.033726000001</v>
      </c>
      <c r="O71">
        <v>276799.14145400003</v>
      </c>
      <c r="P71">
        <v>526.13593000000003</v>
      </c>
      <c r="Q71">
        <v>278.84469100000001</v>
      </c>
      <c r="R71">
        <v>2000</v>
      </c>
      <c r="S71">
        <v>0.40655363009055667</v>
      </c>
    </row>
    <row r="72" spans="1:19" x14ac:dyDescent="0.2">
      <c r="A72" s="16" t="s">
        <v>9</v>
      </c>
      <c r="B72">
        <v>4</v>
      </c>
      <c r="C72">
        <v>6.7132279999999999E-3</v>
      </c>
      <c r="D72">
        <v>42304</v>
      </c>
      <c r="E72">
        <v>92.052800000000005</v>
      </c>
      <c r="F72">
        <v>37.3416</v>
      </c>
      <c r="G72">
        <v>65.430099999999996</v>
      </c>
      <c r="H72">
        <v>34.569899999999997</v>
      </c>
      <c r="I72">
        <v>105</v>
      </c>
      <c r="J72">
        <v>100</v>
      </c>
      <c r="K72">
        <v>100</v>
      </c>
      <c r="L72">
        <v>100</v>
      </c>
      <c r="M72">
        <v>315753.40828999999</v>
      </c>
      <c r="N72">
        <v>39097.033726000001</v>
      </c>
      <c r="O72">
        <v>276130.034614</v>
      </c>
      <c r="P72">
        <v>526.33995000000004</v>
      </c>
      <c r="Q72">
        <v>279.102689</v>
      </c>
      <c r="R72">
        <v>2000</v>
      </c>
      <c r="S72">
        <v>0.40565414631602731</v>
      </c>
    </row>
    <row r="73" spans="1:19" x14ac:dyDescent="0.2">
      <c r="A73" s="16" t="s">
        <v>9</v>
      </c>
      <c r="B73">
        <v>4</v>
      </c>
      <c r="C73">
        <v>6.7553209999999999E-3</v>
      </c>
      <c r="D73">
        <v>42304</v>
      </c>
      <c r="E73">
        <v>92.052800000000005</v>
      </c>
      <c r="F73">
        <v>37.448</v>
      </c>
      <c r="G73">
        <v>65.427300000000002</v>
      </c>
      <c r="H73">
        <v>34.572699999999998</v>
      </c>
      <c r="I73">
        <v>105</v>
      </c>
      <c r="J73">
        <v>100</v>
      </c>
      <c r="K73">
        <v>100</v>
      </c>
      <c r="L73">
        <v>100</v>
      </c>
      <c r="M73">
        <v>315482.738166</v>
      </c>
      <c r="N73">
        <v>39097.033726000001</v>
      </c>
      <c r="O73">
        <v>275858.35944999999</v>
      </c>
      <c r="P73">
        <v>527.34499000000005</v>
      </c>
      <c r="Q73">
        <v>279.36463199999997</v>
      </c>
      <c r="R73">
        <v>2000</v>
      </c>
      <c r="S73">
        <v>0.4068100046929588</v>
      </c>
    </row>
    <row r="74" spans="1:19" x14ac:dyDescent="0.2">
      <c r="A74" s="16" t="s">
        <v>5</v>
      </c>
      <c r="B74">
        <v>4</v>
      </c>
      <c r="C74">
        <v>0.130656471</v>
      </c>
      <c r="D74">
        <v>62936</v>
      </c>
      <c r="E74">
        <v>92.103099999999998</v>
      </c>
      <c r="F74">
        <v>51.622300000000003</v>
      </c>
      <c r="G74">
        <v>76.825999999999993</v>
      </c>
      <c r="H74">
        <v>23.173999999999999</v>
      </c>
      <c r="I74">
        <v>105</v>
      </c>
      <c r="J74">
        <v>100</v>
      </c>
      <c r="K74">
        <v>100</v>
      </c>
      <c r="L74">
        <v>100</v>
      </c>
      <c r="M74">
        <v>328323.96620000002</v>
      </c>
      <c r="N74">
        <v>57596.989624000002</v>
      </c>
      <c r="O74">
        <v>269883.39592600003</v>
      </c>
      <c r="P74">
        <v>843.58064999999999</v>
      </c>
      <c r="Q74">
        <v>260.091702</v>
      </c>
      <c r="R74">
        <v>3000</v>
      </c>
      <c r="S74">
        <v>0.560483849077827</v>
      </c>
    </row>
    <row r="75" spans="1:19" x14ac:dyDescent="0.2">
      <c r="A75" s="16" t="s">
        <v>9</v>
      </c>
      <c r="B75">
        <v>4</v>
      </c>
      <c r="C75">
        <v>9.6153230000000003E-3</v>
      </c>
      <c r="D75">
        <v>62936</v>
      </c>
      <c r="E75">
        <v>92.103099999999998</v>
      </c>
      <c r="F75">
        <v>37.447600000000001</v>
      </c>
      <c r="G75">
        <v>65.512600000000006</v>
      </c>
      <c r="H75">
        <v>34.487400000000001</v>
      </c>
      <c r="I75">
        <v>105</v>
      </c>
      <c r="J75">
        <v>100</v>
      </c>
      <c r="K75">
        <v>100</v>
      </c>
      <c r="L75">
        <v>100</v>
      </c>
      <c r="M75">
        <v>469957.56146599998</v>
      </c>
      <c r="N75">
        <v>57596.989624000002</v>
      </c>
      <c r="O75">
        <v>411572.010862</v>
      </c>
      <c r="P75">
        <v>788.56097999999997</v>
      </c>
      <c r="Q75">
        <v>279.59748300000001</v>
      </c>
      <c r="R75">
        <v>3000</v>
      </c>
      <c r="S75">
        <v>0.40658349176086367</v>
      </c>
    </row>
    <row r="76" spans="1:19" x14ac:dyDescent="0.2">
      <c r="A76" s="16" t="s">
        <v>9</v>
      </c>
      <c r="B76">
        <v>4</v>
      </c>
      <c r="C76">
        <v>1.0668709E-2</v>
      </c>
      <c r="D76">
        <v>62936</v>
      </c>
      <c r="E76">
        <v>92.103099999999998</v>
      </c>
      <c r="F76">
        <v>37.679499999999997</v>
      </c>
      <c r="G76">
        <v>65.467699999999994</v>
      </c>
      <c r="H76">
        <v>34.532299999999999</v>
      </c>
      <c r="I76">
        <v>105</v>
      </c>
      <c r="J76">
        <v>100</v>
      </c>
      <c r="K76">
        <v>100</v>
      </c>
      <c r="L76">
        <v>100</v>
      </c>
      <c r="M76">
        <v>467024.54429200001</v>
      </c>
      <c r="N76">
        <v>57596.989624000002</v>
      </c>
      <c r="O76">
        <v>408636.14442800003</v>
      </c>
      <c r="P76">
        <v>791.41024000000004</v>
      </c>
      <c r="Q76">
        <v>279.47498100000001</v>
      </c>
      <c r="R76">
        <v>3000</v>
      </c>
      <c r="S76">
        <v>0.40910132232248425</v>
      </c>
    </row>
    <row r="77" spans="1:19" x14ac:dyDescent="0.2">
      <c r="A77" s="16" t="s">
        <v>9</v>
      </c>
      <c r="B77">
        <v>4</v>
      </c>
      <c r="C77">
        <v>1.0166978E-2</v>
      </c>
      <c r="D77">
        <v>62936</v>
      </c>
      <c r="E77">
        <v>92.103099999999998</v>
      </c>
      <c r="F77">
        <v>37.188600000000001</v>
      </c>
      <c r="G77">
        <v>65.280900000000003</v>
      </c>
      <c r="H77">
        <v>34.719099999999997</v>
      </c>
      <c r="I77">
        <v>105</v>
      </c>
      <c r="J77">
        <v>100</v>
      </c>
      <c r="K77">
        <v>100</v>
      </c>
      <c r="L77">
        <v>100</v>
      </c>
      <c r="M77">
        <v>470286.079914</v>
      </c>
      <c r="N77">
        <v>57596.989624000002</v>
      </c>
      <c r="O77">
        <v>411900.49515999999</v>
      </c>
      <c r="P77">
        <v>788.59513000000004</v>
      </c>
      <c r="Q77">
        <v>279.97997199999998</v>
      </c>
      <c r="R77">
        <v>3000</v>
      </c>
      <c r="S77">
        <v>0.40377142571748403</v>
      </c>
    </row>
    <row r="78" spans="1:19" x14ac:dyDescent="0.2">
      <c r="A78" s="16" t="s">
        <v>9</v>
      </c>
      <c r="B78">
        <v>4</v>
      </c>
      <c r="C78">
        <v>1.0072895E-2</v>
      </c>
      <c r="D78">
        <v>62936</v>
      </c>
      <c r="E78">
        <v>92.103099999999998</v>
      </c>
      <c r="F78">
        <v>37.299799999999998</v>
      </c>
      <c r="G78">
        <v>65.733800000000002</v>
      </c>
      <c r="H78">
        <v>34.266199999999998</v>
      </c>
      <c r="I78">
        <v>105</v>
      </c>
      <c r="J78">
        <v>100</v>
      </c>
      <c r="K78">
        <v>100</v>
      </c>
      <c r="L78">
        <v>100</v>
      </c>
      <c r="M78">
        <v>470209.29921000003</v>
      </c>
      <c r="N78">
        <v>57596.989624000002</v>
      </c>
      <c r="O78">
        <v>411823.71572600002</v>
      </c>
      <c r="P78">
        <v>788.59385999999995</v>
      </c>
      <c r="Q78">
        <v>278.64258699999999</v>
      </c>
      <c r="R78">
        <v>3000</v>
      </c>
      <c r="S78">
        <v>0.40497876835850255</v>
      </c>
    </row>
    <row r="79" spans="1:19" x14ac:dyDescent="0.2">
      <c r="A79" s="16" t="s">
        <v>9</v>
      </c>
      <c r="B79">
        <v>4</v>
      </c>
      <c r="C79">
        <v>1.0387413E-2</v>
      </c>
      <c r="D79">
        <v>62936</v>
      </c>
      <c r="E79">
        <v>92.103099999999998</v>
      </c>
      <c r="F79">
        <v>37.549300000000002</v>
      </c>
      <c r="G79">
        <v>65.576300000000003</v>
      </c>
      <c r="H79">
        <v>34.423699999999997</v>
      </c>
      <c r="I79">
        <v>105</v>
      </c>
      <c r="J79">
        <v>100</v>
      </c>
      <c r="K79">
        <v>100</v>
      </c>
      <c r="L79">
        <v>100</v>
      </c>
      <c r="M79">
        <v>468905.365467</v>
      </c>
      <c r="N79">
        <v>57596.989624000002</v>
      </c>
      <c r="O79">
        <v>410518.47362300003</v>
      </c>
      <c r="P79">
        <v>789.90222000000006</v>
      </c>
      <c r="Q79">
        <v>279.07753400000001</v>
      </c>
      <c r="R79">
        <v>3000</v>
      </c>
      <c r="S79">
        <v>0.40768768912229886</v>
      </c>
    </row>
    <row r="80" spans="1:19" x14ac:dyDescent="0.2">
      <c r="A80" s="16" t="s">
        <v>9</v>
      </c>
      <c r="B80">
        <v>4</v>
      </c>
      <c r="C80">
        <v>1.04431E-2</v>
      </c>
      <c r="D80">
        <v>62936</v>
      </c>
      <c r="E80">
        <v>92.103099999999998</v>
      </c>
      <c r="F80">
        <v>37.363399999999999</v>
      </c>
      <c r="G80">
        <v>65.677199999999999</v>
      </c>
      <c r="H80">
        <v>34.322800000000001</v>
      </c>
      <c r="I80">
        <v>105</v>
      </c>
      <c r="J80">
        <v>100</v>
      </c>
      <c r="K80">
        <v>100</v>
      </c>
      <c r="L80">
        <v>100</v>
      </c>
      <c r="M80">
        <v>470899.12118800002</v>
      </c>
      <c r="N80">
        <v>57596.989624000002</v>
      </c>
      <c r="O80">
        <v>412514.43301400001</v>
      </c>
      <c r="P80">
        <v>787.69854999999995</v>
      </c>
      <c r="Q80">
        <v>278.98800299999999</v>
      </c>
      <c r="R80">
        <v>3000</v>
      </c>
      <c r="S80">
        <v>0.40566929886181896</v>
      </c>
    </row>
    <row r="81" spans="1:19" x14ac:dyDescent="0.2">
      <c r="A81" s="16" t="s">
        <v>9</v>
      </c>
      <c r="B81">
        <v>4</v>
      </c>
      <c r="C81">
        <v>1.0294424999999999E-2</v>
      </c>
      <c r="D81">
        <v>62936</v>
      </c>
      <c r="E81">
        <v>92.103099999999998</v>
      </c>
      <c r="F81">
        <v>37.186999999999998</v>
      </c>
      <c r="G81">
        <v>66.014399999999995</v>
      </c>
      <c r="H81">
        <v>33.985599999999998</v>
      </c>
      <c r="I81">
        <v>105</v>
      </c>
      <c r="J81">
        <v>100</v>
      </c>
      <c r="K81">
        <v>100</v>
      </c>
      <c r="L81">
        <v>100</v>
      </c>
      <c r="M81">
        <v>470884.75997999997</v>
      </c>
      <c r="N81">
        <v>57596.989624000002</v>
      </c>
      <c r="O81">
        <v>412498.74523599999</v>
      </c>
      <c r="P81">
        <v>789.02512000000002</v>
      </c>
      <c r="Q81">
        <v>277.63141100000001</v>
      </c>
      <c r="R81">
        <v>3000</v>
      </c>
      <c r="S81">
        <v>0.40375405388092256</v>
      </c>
    </row>
    <row r="82" spans="1:19" x14ac:dyDescent="0.2">
      <c r="A82" s="16" t="s">
        <v>9</v>
      </c>
      <c r="B82">
        <v>4</v>
      </c>
      <c r="C82">
        <v>9.7631950000000006E-3</v>
      </c>
      <c r="D82">
        <v>62936</v>
      </c>
      <c r="E82">
        <v>92.103099999999998</v>
      </c>
      <c r="F82">
        <v>37.431699999999999</v>
      </c>
      <c r="G82">
        <v>65.455500000000001</v>
      </c>
      <c r="H82">
        <v>34.544499999999999</v>
      </c>
      <c r="I82">
        <v>105</v>
      </c>
      <c r="J82">
        <v>100</v>
      </c>
      <c r="K82">
        <v>100</v>
      </c>
      <c r="L82">
        <v>100</v>
      </c>
      <c r="M82">
        <v>469689.280623</v>
      </c>
      <c r="N82">
        <v>57596.989624000002</v>
      </c>
      <c r="O82">
        <v>411301.35525899997</v>
      </c>
      <c r="P82">
        <v>790.93574000000001</v>
      </c>
      <c r="Q82">
        <v>279.67846100000003</v>
      </c>
      <c r="R82">
        <v>3000</v>
      </c>
      <c r="S82">
        <v>0.40641085913503455</v>
      </c>
    </row>
    <row r="83" spans="1:19" x14ac:dyDescent="0.2">
      <c r="A83" s="16" t="s">
        <v>9</v>
      </c>
      <c r="B83">
        <v>4</v>
      </c>
      <c r="C83">
        <v>9.8630309999999995E-3</v>
      </c>
      <c r="D83">
        <v>62936</v>
      </c>
      <c r="E83">
        <v>92.103099999999998</v>
      </c>
      <c r="F83">
        <v>37.269599999999997</v>
      </c>
      <c r="G83">
        <v>65.799800000000005</v>
      </c>
      <c r="H83">
        <v>34.200200000000002</v>
      </c>
      <c r="I83">
        <v>105</v>
      </c>
      <c r="J83">
        <v>100</v>
      </c>
      <c r="K83">
        <v>100</v>
      </c>
      <c r="L83">
        <v>100</v>
      </c>
      <c r="M83">
        <v>471616.82244399999</v>
      </c>
      <c r="N83">
        <v>57596.989624000002</v>
      </c>
      <c r="O83">
        <v>413230.58585999999</v>
      </c>
      <c r="P83">
        <v>789.24695999999994</v>
      </c>
      <c r="Q83">
        <v>278.00521300000003</v>
      </c>
      <c r="R83">
        <v>3000</v>
      </c>
      <c r="S83">
        <v>0.40465087494340579</v>
      </c>
    </row>
    <row r="84" spans="1:19" x14ac:dyDescent="0.2">
      <c r="A84" s="16" t="s">
        <v>9</v>
      </c>
      <c r="B84">
        <v>4</v>
      </c>
      <c r="C84">
        <v>1.0297127999999999E-2</v>
      </c>
      <c r="D84">
        <v>62936</v>
      </c>
      <c r="E84">
        <v>92.103099999999998</v>
      </c>
      <c r="F84">
        <v>37.220399999999998</v>
      </c>
      <c r="G84">
        <v>65.246499999999997</v>
      </c>
      <c r="H84">
        <v>34.753500000000003</v>
      </c>
      <c r="I84">
        <v>105</v>
      </c>
      <c r="J84">
        <v>100</v>
      </c>
      <c r="K84">
        <v>100</v>
      </c>
      <c r="L84">
        <v>100</v>
      </c>
      <c r="M84">
        <v>471172.05073399999</v>
      </c>
      <c r="N84">
        <v>57596.989624000002</v>
      </c>
      <c r="O84">
        <v>412786.20955999999</v>
      </c>
      <c r="P84">
        <v>788.85154999999997</v>
      </c>
      <c r="Q84">
        <v>279.63067799999999</v>
      </c>
      <c r="R84">
        <v>3000</v>
      </c>
      <c r="S84">
        <v>0.40411669096914216</v>
      </c>
    </row>
    <row r="85" spans="1:19" x14ac:dyDescent="0.2">
      <c r="A85" s="16" t="s">
        <v>9</v>
      </c>
      <c r="B85">
        <v>4</v>
      </c>
      <c r="C85">
        <v>1.0708741000000001E-2</v>
      </c>
      <c r="D85">
        <v>62936</v>
      </c>
      <c r="E85">
        <v>92.103099999999998</v>
      </c>
      <c r="F85">
        <v>37.596899999999998</v>
      </c>
      <c r="G85">
        <v>65.239599999999996</v>
      </c>
      <c r="H85">
        <v>34.760399999999997</v>
      </c>
      <c r="I85">
        <v>105</v>
      </c>
      <c r="J85">
        <v>100</v>
      </c>
      <c r="K85">
        <v>100</v>
      </c>
      <c r="L85">
        <v>100</v>
      </c>
      <c r="M85">
        <v>468969.28680399997</v>
      </c>
      <c r="N85">
        <v>57596.989624000002</v>
      </c>
      <c r="O85">
        <v>410584.18578</v>
      </c>
      <c r="P85">
        <v>788.1114</v>
      </c>
      <c r="Q85">
        <v>280.489192</v>
      </c>
      <c r="R85">
        <v>3000</v>
      </c>
      <c r="S85">
        <v>0.40820450126000102</v>
      </c>
    </row>
    <row r="86" spans="1:19" x14ac:dyDescent="0.2">
      <c r="A86" s="16" t="s">
        <v>9</v>
      </c>
      <c r="B86">
        <v>4</v>
      </c>
      <c r="C86">
        <v>9.8818389999999999E-3</v>
      </c>
      <c r="D86">
        <v>62936</v>
      </c>
      <c r="E86">
        <v>92.103099999999998</v>
      </c>
      <c r="F86">
        <v>37.185400000000001</v>
      </c>
      <c r="G86">
        <v>65.397599999999997</v>
      </c>
      <c r="H86">
        <v>34.602400000000003</v>
      </c>
      <c r="I86">
        <v>105</v>
      </c>
      <c r="J86">
        <v>100</v>
      </c>
      <c r="K86">
        <v>100</v>
      </c>
      <c r="L86">
        <v>100</v>
      </c>
      <c r="M86">
        <v>470939.22181199997</v>
      </c>
      <c r="N86">
        <v>57596.989624000002</v>
      </c>
      <c r="O86">
        <v>412552.98089800001</v>
      </c>
      <c r="P86">
        <v>789.25129000000004</v>
      </c>
      <c r="Q86">
        <v>279.85332099999999</v>
      </c>
      <c r="R86">
        <v>3000</v>
      </c>
      <c r="S86">
        <v>0.40373668204436119</v>
      </c>
    </row>
    <row r="87" spans="1:19" x14ac:dyDescent="0.2">
      <c r="A87" s="16" t="s">
        <v>9</v>
      </c>
      <c r="B87">
        <v>4</v>
      </c>
      <c r="C87">
        <v>9.7419459999999996E-3</v>
      </c>
      <c r="D87">
        <v>62936</v>
      </c>
      <c r="E87">
        <v>92.103099999999998</v>
      </c>
      <c r="F87">
        <v>37.411000000000001</v>
      </c>
      <c r="G87">
        <v>65.627499999999998</v>
      </c>
      <c r="H87">
        <v>34.372500000000002</v>
      </c>
      <c r="I87">
        <v>105</v>
      </c>
      <c r="J87">
        <v>100</v>
      </c>
      <c r="K87">
        <v>100</v>
      </c>
      <c r="L87">
        <v>100</v>
      </c>
      <c r="M87">
        <v>469972.96171599999</v>
      </c>
      <c r="N87">
        <v>57596.989624000002</v>
      </c>
      <c r="O87">
        <v>411586.138622</v>
      </c>
      <c r="P87">
        <v>789.83347000000003</v>
      </c>
      <c r="Q87">
        <v>278.60635400000001</v>
      </c>
      <c r="R87">
        <v>3000</v>
      </c>
      <c r="S87">
        <v>0.40618611099952123</v>
      </c>
    </row>
    <row r="88" spans="1:19" x14ac:dyDescent="0.2">
      <c r="A88" s="16" t="s">
        <v>9</v>
      </c>
      <c r="B88">
        <v>4</v>
      </c>
      <c r="C88">
        <v>1.0309037E-2</v>
      </c>
      <c r="D88">
        <v>62936</v>
      </c>
      <c r="E88">
        <v>92.103099999999998</v>
      </c>
      <c r="F88">
        <v>37.411000000000001</v>
      </c>
      <c r="G88">
        <v>65.627499999999998</v>
      </c>
      <c r="H88">
        <v>34.372500000000002</v>
      </c>
      <c r="I88">
        <v>105</v>
      </c>
      <c r="J88">
        <v>100</v>
      </c>
      <c r="K88">
        <v>100</v>
      </c>
      <c r="L88">
        <v>100</v>
      </c>
      <c r="M88">
        <v>470212.77430799999</v>
      </c>
      <c r="N88">
        <v>57596.989624000002</v>
      </c>
      <c r="O88">
        <v>411824.597114</v>
      </c>
      <c r="P88">
        <v>791.18757000000005</v>
      </c>
      <c r="Q88">
        <v>278.60595599999999</v>
      </c>
      <c r="R88">
        <v>3000</v>
      </c>
      <c r="S88">
        <v>0.40618611099952123</v>
      </c>
    </row>
    <row r="89" spans="1:19" x14ac:dyDescent="0.2">
      <c r="A89" s="16" t="s">
        <v>9</v>
      </c>
      <c r="B89">
        <v>4</v>
      </c>
      <c r="C89">
        <v>9.8396739999999996E-3</v>
      </c>
      <c r="D89">
        <v>62936</v>
      </c>
      <c r="E89">
        <v>92.103099999999998</v>
      </c>
      <c r="F89">
        <v>37.398299999999999</v>
      </c>
      <c r="G89">
        <v>65.586100000000002</v>
      </c>
      <c r="H89">
        <v>34.413899999999998</v>
      </c>
      <c r="I89">
        <v>105</v>
      </c>
      <c r="J89">
        <v>100</v>
      </c>
      <c r="K89">
        <v>100</v>
      </c>
      <c r="L89">
        <v>100</v>
      </c>
      <c r="M89">
        <v>469619.98282999999</v>
      </c>
      <c r="N89">
        <v>57596.989624000002</v>
      </c>
      <c r="O89">
        <v>411234.093116</v>
      </c>
      <c r="P89">
        <v>788.90008999999998</v>
      </c>
      <c r="Q89">
        <v>279.26530400000001</v>
      </c>
      <c r="R89">
        <v>3000</v>
      </c>
      <c r="S89">
        <v>0.4060482220468149</v>
      </c>
    </row>
    <row r="90" spans="1:19" x14ac:dyDescent="0.2">
      <c r="A90" s="16" t="s">
        <v>9</v>
      </c>
      <c r="B90">
        <v>4</v>
      </c>
      <c r="C90">
        <v>9.8156170000000004E-3</v>
      </c>
      <c r="D90">
        <v>62936</v>
      </c>
      <c r="E90">
        <v>92.103099999999998</v>
      </c>
      <c r="F90">
        <v>37.468200000000003</v>
      </c>
      <c r="G90">
        <v>65.879300000000001</v>
      </c>
      <c r="H90">
        <v>34.120699999999999</v>
      </c>
      <c r="I90">
        <v>105</v>
      </c>
      <c r="J90">
        <v>100</v>
      </c>
      <c r="K90">
        <v>100</v>
      </c>
      <c r="L90">
        <v>100</v>
      </c>
      <c r="M90">
        <v>469211.72763500002</v>
      </c>
      <c r="N90">
        <v>57596.989624000002</v>
      </c>
      <c r="O90">
        <v>410824.268881</v>
      </c>
      <c r="P90">
        <v>790.46912999999995</v>
      </c>
      <c r="Q90">
        <v>278.40424899999999</v>
      </c>
      <c r="R90">
        <v>3000</v>
      </c>
      <c r="S90">
        <v>0.40680715415659197</v>
      </c>
    </row>
    <row r="91" spans="1:19" x14ac:dyDescent="0.2">
      <c r="A91" s="16" t="s">
        <v>9</v>
      </c>
      <c r="B91">
        <v>4</v>
      </c>
      <c r="C91">
        <v>9.7220440000000009E-3</v>
      </c>
      <c r="D91">
        <v>62936</v>
      </c>
      <c r="E91">
        <v>92.103099999999998</v>
      </c>
      <c r="F91">
        <v>37.385599999999997</v>
      </c>
      <c r="G91">
        <v>65.680599999999998</v>
      </c>
      <c r="H91">
        <v>34.319400000000002</v>
      </c>
      <c r="I91">
        <v>105</v>
      </c>
      <c r="J91">
        <v>100</v>
      </c>
      <c r="K91">
        <v>100</v>
      </c>
      <c r="L91">
        <v>100</v>
      </c>
      <c r="M91">
        <v>469086.433693</v>
      </c>
      <c r="N91">
        <v>57596.989624000002</v>
      </c>
      <c r="O91">
        <v>410698.46147899999</v>
      </c>
      <c r="P91">
        <v>790.98258999999996</v>
      </c>
      <c r="Q91">
        <v>279</v>
      </c>
      <c r="R91">
        <v>3000</v>
      </c>
      <c r="S91">
        <v>0.40591033309410862</v>
      </c>
    </row>
    <row r="92" spans="1:19" x14ac:dyDescent="0.2">
      <c r="A92" s="16" t="s">
        <v>9</v>
      </c>
      <c r="B92">
        <v>4</v>
      </c>
      <c r="C92">
        <v>9.7099089999999992E-3</v>
      </c>
      <c r="D92">
        <v>62936</v>
      </c>
      <c r="E92">
        <v>92.103099999999998</v>
      </c>
      <c r="F92">
        <v>37.388800000000003</v>
      </c>
      <c r="G92">
        <v>65.556100000000001</v>
      </c>
      <c r="H92">
        <v>34.443899999999999</v>
      </c>
      <c r="I92">
        <v>105</v>
      </c>
      <c r="J92">
        <v>100</v>
      </c>
      <c r="K92">
        <v>100</v>
      </c>
      <c r="L92">
        <v>100</v>
      </c>
      <c r="M92">
        <v>469466.776725</v>
      </c>
      <c r="N92">
        <v>57596.989624000002</v>
      </c>
      <c r="O92">
        <v>411078.41403099999</v>
      </c>
      <c r="P92">
        <v>791.37306999999998</v>
      </c>
      <c r="Q92">
        <v>279.23269199999999</v>
      </c>
      <c r="R92">
        <v>3000</v>
      </c>
      <c r="S92">
        <v>0.40594507676723157</v>
      </c>
    </row>
    <row r="93" spans="1:19" x14ac:dyDescent="0.2">
      <c r="A93" s="16" t="s">
        <v>9</v>
      </c>
      <c r="B93">
        <v>4</v>
      </c>
      <c r="C93">
        <v>9.9406630000000006E-3</v>
      </c>
      <c r="D93">
        <v>62936</v>
      </c>
      <c r="E93">
        <v>92.103099999999998</v>
      </c>
      <c r="F93">
        <v>37.247399999999999</v>
      </c>
      <c r="G93">
        <v>65.408199999999994</v>
      </c>
      <c r="H93">
        <v>34.591799999999999</v>
      </c>
      <c r="I93">
        <v>105</v>
      </c>
      <c r="J93">
        <v>100</v>
      </c>
      <c r="K93">
        <v>100</v>
      </c>
      <c r="L93">
        <v>100</v>
      </c>
      <c r="M93">
        <v>471230.34772600001</v>
      </c>
      <c r="N93">
        <v>57596.989624000002</v>
      </c>
      <c r="O93">
        <v>412844.91146199999</v>
      </c>
      <c r="P93">
        <v>788.44664</v>
      </c>
      <c r="Q93">
        <v>279.58667100000002</v>
      </c>
      <c r="R93">
        <v>3000</v>
      </c>
      <c r="S93">
        <v>0.40440984071111613</v>
      </c>
    </row>
    <row r="94" spans="1:19" x14ac:dyDescent="0.2">
      <c r="A94" s="16" t="s">
        <v>9</v>
      </c>
      <c r="B94">
        <v>4</v>
      </c>
      <c r="C94">
        <v>9.7472879999999998E-3</v>
      </c>
      <c r="D94">
        <v>62936</v>
      </c>
      <c r="E94">
        <v>92.103099999999998</v>
      </c>
      <c r="F94">
        <v>37.282299999999999</v>
      </c>
      <c r="G94">
        <v>65.321299999999994</v>
      </c>
      <c r="H94">
        <v>34.678699999999999</v>
      </c>
      <c r="I94">
        <v>105</v>
      </c>
      <c r="J94">
        <v>100</v>
      </c>
      <c r="K94">
        <v>100</v>
      </c>
      <c r="L94">
        <v>100</v>
      </c>
      <c r="M94">
        <v>470867.18765199999</v>
      </c>
      <c r="N94">
        <v>57596.989624000002</v>
      </c>
      <c r="O94">
        <v>412480.80344799999</v>
      </c>
      <c r="P94">
        <v>789.39458000000002</v>
      </c>
      <c r="Q94">
        <v>279.48934000000003</v>
      </c>
      <c r="R94">
        <v>3000</v>
      </c>
      <c r="S94">
        <v>0.40478876389611207</v>
      </c>
    </row>
    <row r="95" spans="1:19" x14ac:dyDescent="0.2">
      <c r="A95" s="16" t="s">
        <v>9</v>
      </c>
      <c r="B95">
        <v>4</v>
      </c>
      <c r="C95">
        <v>9.6529709999999998E-3</v>
      </c>
      <c r="D95">
        <v>62936</v>
      </c>
      <c r="E95">
        <v>92.103099999999998</v>
      </c>
      <c r="F95">
        <v>37.455500000000001</v>
      </c>
      <c r="G95">
        <v>65.396900000000002</v>
      </c>
      <c r="H95">
        <v>34.603099999999998</v>
      </c>
      <c r="I95">
        <v>105</v>
      </c>
      <c r="J95">
        <v>100</v>
      </c>
      <c r="K95">
        <v>100</v>
      </c>
      <c r="L95">
        <v>100</v>
      </c>
      <c r="M95">
        <v>469778.91331899998</v>
      </c>
      <c r="N95">
        <v>57596.989624000002</v>
      </c>
      <c r="O95">
        <v>411393.75685499999</v>
      </c>
      <c r="P95">
        <v>788.16683999999998</v>
      </c>
      <c r="Q95">
        <v>279.142921</v>
      </c>
      <c r="R95">
        <v>3000</v>
      </c>
      <c r="S95">
        <v>0.40666926520388569</v>
      </c>
    </row>
    <row r="96" spans="1:19" x14ac:dyDescent="0.2">
      <c r="A96" s="16" t="s">
        <v>9</v>
      </c>
      <c r="B96">
        <v>4</v>
      </c>
      <c r="C96">
        <v>1.0052245E-2</v>
      </c>
      <c r="D96">
        <v>62936</v>
      </c>
      <c r="E96">
        <v>92.103099999999998</v>
      </c>
      <c r="F96">
        <v>37.215600000000002</v>
      </c>
      <c r="G96">
        <v>65.715999999999994</v>
      </c>
      <c r="H96">
        <v>34.283999999999999</v>
      </c>
      <c r="I96">
        <v>105</v>
      </c>
      <c r="J96">
        <v>100</v>
      </c>
      <c r="K96">
        <v>100</v>
      </c>
      <c r="L96">
        <v>100</v>
      </c>
      <c r="M96">
        <v>471849.79803000001</v>
      </c>
      <c r="N96">
        <v>57596.989624000002</v>
      </c>
      <c r="O96">
        <v>413462.99755600002</v>
      </c>
      <c r="P96">
        <v>789.81084999999996</v>
      </c>
      <c r="Q96">
        <v>278.12828200000001</v>
      </c>
      <c r="R96">
        <v>3000</v>
      </c>
      <c r="S96">
        <v>0.40406457545945795</v>
      </c>
    </row>
    <row r="97" spans="1:19" x14ac:dyDescent="0.2">
      <c r="A97" s="16" t="s">
        <v>9</v>
      </c>
      <c r="B97">
        <v>4</v>
      </c>
      <c r="C97">
        <v>1.0133972999999999E-2</v>
      </c>
      <c r="D97">
        <v>62936</v>
      </c>
      <c r="E97">
        <v>92.103099999999998</v>
      </c>
      <c r="F97">
        <v>37.179000000000002</v>
      </c>
      <c r="G97">
        <v>65.601100000000002</v>
      </c>
      <c r="H97">
        <v>34.398899999999998</v>
      </c>
      <c r="I97">
        <v>105</v>
      </c>
      <c r="J97">
        <v>100</v>
      </c>
      <c r="K97">
        <v>100</v>
      </c>
      <c r="L97">
        <v>100</v>
      </c>
      <c r="M97">
        <v>470443.63679700001</v>
      </c>
      <c r="N97">
        <v>57596.989624000002</v>
      </c>
      <c r="O97">
        <v>412056.59700299997</v>
      </c>
      <c r="P97">
        <v>790.05016999999998</v>
      </c>
      <c r="Q97">
        <v>278.67837700000001</v>
      </c>
      <c r="R97">
        <v>3000</v>
      </c>
      <c r="S97">
        <v>0.40366719469811552</v>
      </c>
    </row>
    <row r="98" spans="1:19" x14ac:dyDescent="0.2">
      <c r="A98" s="16" t="s">
        <v>9</v>
      </c>
      <c r="B98">
        <v>4</v>
      </c>
      <c r="C98">
        <v>9.8629809999999998E-3</v>
      </c>
      <c r="D98">
        <v>62936</v>
      </c>
      <c r="E98">
        <v>92.103099999999998</v>
      </c>
      <c r="F98">
        <v>37.364899999999999</v>
      </c>
      <c r="G98">
        <v>65.406499999999994</v>
      </c>
      <c r="H98">
        <v>34.593499999999999</v>
      </c>
      <c r="I98">
        <v>105</v>
      </c>
      <c r="J98">
        <v>100</v>
      </c>
      <c r="K98">
        <v>100</v>
      </c>
      <c r="L98">
        <v>100</v>
      </c>
      <c r="M98">
        <v>470678.47337199998</v>
      </c>
      <c r="N98">
        <v>57596.989624000002</v>
      </c>
      <c r="O98">
        <v>412291.64978799998</v>
      </c>
      <c r="P98">
        <v>789.83396000000005</v>
      </c>
      <c r="Q98">
        <v>279.32009599999998</v>
      </c>
      <c r="R98">
        <v>3000</v>
      </c>
      <c r="S98">
        <v>0.4056855849585953</v>
      </c>
    </row>
    <row r="99" spans="1:19" x14ac:dyDescent="0.2">
      <c r="A99" s="16" t="s">
        <v>9</v>
      </c>
      <c r="B99">
        <v>4</v>
      </c>
      <c r="C99">
        <v>1.0153552E-2</v>
      </c>
      <c r="D99">
        <v>62936</v>
      </c>
      <c r="E99">
        <v>92.103099999999998</v>
      </c>
      <c r="F99">
        <v>37.263300000000001</v>
      </c>
      <c r="G99">
        <v>65.4315</v>
      </c>
      <c r="H99">
        <v>34.5685</v>
      </c>
      <c r="I99">
        <v>105</v>
      </c>
      <c r="J99">
        <v>100</v>
      </c>
      <c r="K99">
        <v>100</v>
      </c>
      <c r="L99">
        <v>100</v>
      </c>
      <c r="M99">
        <v>470805.15662000002</v>
      </c>
      <c r="N99">
        <v>57596.989624000002</v>
      </c>
      <c r="O99">
        <v>412418.25304600003</v>
      </c>
      <c r="P99">
        <v>789.91395</v>
      </c>
      <c r="Q99">
        <v>279.64894399999997</v>
      </c>
      <c r="R99">
        <v>3000</v>
      </c>
      <c r="S99">
        <v>0.40458247333694525</v>
      </c>
    </row>
    <row r="100" spans="1:19" x14ac:dyDescent="0.2">
      <c r="A100" s="16" t="s">
        <v>9</v>
      </c>
      <c r="B100">
        <v>4</v>
      </c>
      <c r="C100">
        <v>1.0143892E-2</v>
      </c>
      <c r="D100">
        <v>62936</v>
      </c>
      <c r="E100">
        <v>92.103099999999998</v>
      </c>
      <c r="F100">
        <v>37.247399999999999</v>
      </c>
      <c r="G100">
        <v>65.621499999999997</v>
      </c>
      <c r="H100">
        <v>34.378500000000003</v>
      </c>
      <c r="I100">
        <v>105</v>
      </c>
      <c r="J100">
        <v>100</v>
      </c>
      <c r="K100">
        <v>100</v>
      </c>
      <c r="L100">
        <v>100</v>
      </c>
      <c r="M100">
        <v>470547.19581499998</v>
      </c>
      <c r="N100">
        <v>57596.989624000002</v>
      </c>
      <c r="O100">
        <v>412159.69547099998</v>
      </c>
      <c r="P100">
        <v>790.51071999999999</v>
      </c>
      <c r="Q100">
        <v>278.67103600000002</v>
      </c>
      <c r="R100">
        <v>3000</v>
      </c>
      <c r="S100">
        <v>0.40440984071111613</v>
      </c>
    </row>
    <row r="101" spans="1:19" x14ac:dyDescent="0.2">
      <c r="A101" s="16" t="s">
        <v>9</v>
      </c>
      <c r="B101">
        <v>4</v>
      </c>
      <c r="C101">
        <v>9.7361740000000002E-3</v>
      </c>
      <c r="D101">
        <v>62936</v>
      </c>
      <c r="E101">
        <v>92.103099999999998</v>
      </c>
      <c r="F101">
        <v>37.4666</v>
      </c>
      <c r="G101">
        <v>65.597999999999999</v>
      </c>
      <c r="H101">
        <v>34.402000000000001</v>
      </c>
      <c r="I101">
        <v>105</v>
      </c>
      <c r="J101">
        <v>100</v>
      </c>
      <c r="K101">
        <v>100</v>
      </c>
      <c r="L101">
        <v>100</v>
      </c>
      <c r="M101">
        <v>468774.21312600002</v>
      </c>
      <c r="N101">
        <v>57596.989624000002</v>
      </c>
      <c r="O101">
        <v>410386.07417199999</v>
      </c>
      <c r="P101">
        <v>791.14932999999996</v>
      </c>
      <c r="Q101">
        <v>279.04965299999998</v>
      </c>
      <c r="R101">
        <v>3000</v>
      </c>
      <c r="S101">
        <v>0.40678978232003049</v>
      </c>
    </row>
    <row r="102" spans="1:19" x14ac:dyDescent="0.2">
      <c r="A102" s="16" t="s">
        <v>9</v>
      </c>
      <c r="B102">
        <v>4</v>
      </c>
      <c r="C102">
        <v>1.0060609999999999E-2</v>
      </c>
      <c r="D102">
        <v>62936</v>
      </c>
      <c r="E102">
        <v>92.103099999999998</v>
      </c>
      <c r="F102">
        <v>37.356999999999999</v>
      </c>
      <c r="G102">
        <v>65.943600000000004</v>
      </c>
      <c r="H102">
        <v>34.056399999999996</v>
      </c>
      <c r="I102">
        <v>105</v>
      </c>
      <c r="J102">
        <v>100</v>
      </c>
      <c r="K102">
        <v>100</v>
      </c>
      <c r="L102">
        <v>100</v>
      </c>
      <c r="M102">
        <v>470759.40982399997</v>
      </c>
      <c r="N102">
        <v>57596.989624000002</v>
      </c>
      <c r="O102">
        <v>412372.94812999998</v>
      </c>
      <c r="P102">
        <v>789.47207000000003</v>
      </c>
      <c r="Q102">
        <v>277.79351600000001</v>
      </c>
      <c r="R102">
        <v>3000</v>
      </c>
      <c r="S102">
        <v>0.40559981151557334</v>
      </c>
    </row>
    <row r="103" spans="1:19" x14ac:dyDescent="0.2">
      <c r="A103" s="16" t="s">
        <v>9</v>
      </c>
      <c r="B103">
        <v>4</v>
      </c>
      <c r="C103">
        <v>9.7127789999999995E-3</v>
      </c>
      <c r="D103">
        <v>62936</v>
      </c>
      <c r="E103">
        <v>92.103099999999998</v>
      </c>
      <c r="F103">
        <v>37.430100000000003</v>
      </c>
      <c r="G103">
        <v>65.725700000000003</v>
      </c>
      <c r="H103">
        <v>34.274299999999997</v>
      </c>
      <c r="I103">
        <v>105</v>
      </c>
      <c r="J103">
        <v>100</v>
      </c>
      <c r="K103">
        <v>100</v>
      </c>
      <c r="L103">
        <v>100</v>
      </c>
      <c r="M103">
        <v>470130.57576400001</v>
      </c>
      <c r="N103">
        <v>57596.989624000002</v>
      </c>
      <c r="O103">
        <v>411743.48853999999</v>
      </c>
      <c r="P103">
        <v>790.09760000000006</v>
      </c>
      <c r="Q103">
        <v>278.55117799999999</v>
      </c>
      <c r="R103">
        <v>3000</v>
      </c>
      <c r="S103">
        <v>0.40639348729847319</v>
      </c>
    </row>
    <row r="104" spans="1:19" x14ac:dyDescent="0.2">
      <c r="A104" s="16" t="s">
        <v>9</v>
      </c>
      <c r="B104">
        <v>4</v>
      </c>
      <c r="C104">
        <v>1.0324125E-2</v>
      </c>
      <c r="D104">
        <v>62936</v>
      </c>
      <c r="E104">
        <v>92.103099999999998</v>
      </c>
      <c r="F104">
        <v>37.293399999999998</v>
      </c>
      <c r="G104">
        <v>65.702399999999997</v>
      </c>
      <c r="H104">
        <v>34.297600000000003</v>
      </c>
      <c r="I104">
        <v>105</v>
      </c>
      <c r="J104">
        <v>100</v>
      </c>
      <c r="K104">
        <v>100</v>
      </c>
      <c r="L104">
        <v>100</v>
      </c>
      <c r="M104">
        <v>470979.24219399999</v>
      </c>
      <c r="N104">
        <v>57596.989624000002</v>
      </c>
      <c r="O104">
        <v>412592.95705000003</v>
      </c>
      <c r="P104">
        <v>789.29552000000001</v>
      </c>
      <c r="Q104">
        <v>278.65727900000002</v>
      </c>
      <c r="R104">
        <v>3000</v>
      </c>
      <c r="S104">
        <v>0.40490928101225693</v>
      </c>
    </row>
    <row r="105" spans="1:19" x14ac:dyDescent="0.2">
      <c r="A105" s="16" t="s">
        <v>9</v>
      </c>
      <c r="B105">
        <v>4</v>
      </c>
      <c r="C105">
        <v>1.0253362E-2</v>
      </c>
      <c r="D105">
        <v>62936</v>
      </c>
      <c r="E105">
        <v>92.103099999999998</v>
      </c>
      <c r="F105">
        <v>37.4968</v>
      </c>
      <c r="G105">
        <v>65.451899999999995</v>
      </c>
      <c r="H105">
        <v>34.548099999999998</v>
      </c>
      <c r="I105">
        <v>105</v>
      </c>
      <c r="J105">
        <v>100</v>
      </c>
      <c r="K105">
        <v>100</v>
      </c>
      <c r="L105">
        <v>100</v>
      </c>
      <c r="M105">
        <v>469146.05885299999</v>
      </c>
      <c r="N105">
        <v>57596.989624000002</v>
      </c>
      <c r="O105">
        <v>410760.42123899999</v>
      </c>
      <c r="P105">
        <v>788.64799000000005</v>
      </c>
      <c r="Q105">
        <v>279.49872800000003</v>
      </c>
      <c r="R105">
        <v>3000</v>
      </c>
      <c r="S105">
        <v>0.4071176757351273</v>
      </c>
    </row>
    <row r="106" spans="1:19" x14ac:dyDescent="0.2">
      <c r="A106" s="16" t="s">
        <v>9</v>
      </c>
      <c r="B106">
        <v>4</v>
      </c>
      <c r="C106">
        <v>1.0414305E-2</v>
      </c>
      <c r="D106">
        <v>62936</v>
      </c>
      <c r="E106">
        <v>92.103099999999998</v>
      </c>
      <c r="F106">
        <v>37.223500000000001</v>
      </c>
      <c r="G106">
        <v>65.305000000000007</v>
      </c>
      <c r="H106">
        <v>34.695</v>
      </c>
      <c r="I106">
        <v>105</v>
      </c>
      <c r="J106">
        <v>100</v>
      </c>
      <c r="K106">
        <v>100</v>
      </c>
      <c r="L106">
        <v>100</v>
      </c>
      <c r="M106">
        <v>470953.45006100001</v>
      </c>
      <c r="N106">
        <v>57596.989624000002</v>
      </c>
      <c r="O106">
        <v>412566.550927</v>
      </c>
      <c r="P106">
        <v>789.90950999999995</v>
      </c>
      <c r="Q106">
        <v>279.708167</v>
      </c>
      <c r="R106">
        <v>3000</v>
      </c>
      <c r="S106">
        <v>0.40415034890247997</v>
      </c>
    </row>
    <row r="107" spans="1:19" x14ac:dyDescent="0.2">
      <c r="A107" s="16" t="s">
        <v>9</v>
      </c>
      <c r="B107">
        <v>4</v>
      </c>
      <c r="C107">
        <v>9.9577290000000002E-3</v>
      </c>
      <c r="D107">
        <v>62936</v>
      </c>
      <c r="E107">
        <v>92.103099999999998</v>
      </c>
      <c r="F107">
        <v>37.4253</v>
      </c>
      <c r="G107">
        <v>65.075999999999993</v>
      </c>
      <c r="H107">
        <v>34.923999999999999</v>
      </c>
      <c r="I107">
        <v>105</v>
      </c>
      <c r="J107">
        <v>100</v>
      </c>
      <c r="K107">
        <v>100</v>
      </c>
      <c r="L107">
        <v>100</v>
      </c>
      <c r="M107">
        <v>469239.563119</v>
      </c>
      <c r="N107">
        <v>57596.989624000002</v>
      </c>
      <c r="O107">
        <v>410853.37615500001</v>
      </c>
      <c r="P107">
        <v>789.19734000000005</v>
      </c>
      <c r="Q107">
        <v>280.27718399999998</v>
      </c>
      <c r="R107">
        <v>3000</v>
      </c>
      <c r="S107">
        <v>0.40634137178878887</v>
      </c>
    </row>
    <row r="108" spans="1:19" x14ac:dyDescent="0.2">
      <c r="A108" s="16" t="s">
        <v>9</v>
      </c>
      <c r="B108">
        <v>4</v>
      </c>
      <c r="C108">
        <v>9.6694020000000006E-3</v>
      </c>
      <c r="D108">
        <v>62936</v>
      </c>
      <c r="E108">
        <v>92.103099999999998</v>
      </c>
      <c r="F108">
        <v>37.398299999999999</v>
      </c>
      <c r="G108">
        <v>65.879300000000001</v>
      </c>
      <c r="H108">
        <v>34.120699999999999</v>
      </c>
      <c r="I108">
        <v>105</v>
      </c>
      <c r="J108">
        <v>100</v>
      </c>
      <c r="K108">
        <v>100</v>
      </c>
      <c r="L108">
        <v>100</v>
      </c>
      <c r="M108">
        <v>469905.19550700003</v>
      </c>
      <c r="N108">
        <v>57596.989624000002</v>
      </c>
      <c r="O108">
        <v>411518.627683</v>
      </c>
      <c r="P108">
        <v>789.57820000000004</v>
      </c>
      <c r="Q108">
        <v>278.61382300000002</v>
      </c>
      <c r="R108">
        <v>3000</v>
      </c>
      <c r="S108">
        <v>0.4060482220468149</v>
      </c>
    </row>
    <row r="109" spans="1:19" x14ac:dyDescent="0.2">
      <c r="A109" s="16" t="s">
        <v>9</v>
      </c>
      <c r="B109">
        <v>4</v>
      </c>
      <c r="C109">
        <v>1.0040647999999999E-2</v>
      </c>
      <c r="D109">
        <v>62936</v>
      </c>
      <c r="E109">
        <v>92.103099999999998</v>
      </c>
      <c r="F109">
        <v>37.463500000000003</v>
      </c>
      <c r="G109">
        <v>65.467799999999997</v>
      </c>
      <c r="H109">
        <v>34.532200000000003</v>
      </c>
      <c r="I109">
        <v>105</v>
      </c>
      <c r="J109">
        <v>100</v>
      </c>
      <c r="K109">
        <v>100</v>
      </c>
      <c r="L109">
        <v>100</v>
      </c>
      <c r="M109">
        <v>469788.72752800002</v>
      </c>
      <c r="N109">
        <v>57596.989624000002</v>
      </c>
      <c r="O109">
        <v>411400.78191399999</v>
      </c>
      <c r="P109">
        <v>790.95599000000004</v>
      </c>
      <c r="Q109">
        <v>279.401095</v>
      </c>
      <c r="R109">
        <v>3000</v>
      </c>
      <c r="S109">
        <v>0.40675612438669279</v>
      </c>
    </row>
    <row r="110" spans="1:19" x14ac:dyDescent="0.2">
      <c r="A110" s="16" t="s">
        <v>5</v>
      </c>
      <c r="B110">
        <v>4</v>
      </c>
      <c r="C110">
        <v>0.173771282</v>
      </c>
      <c r="D110">
        <v>84059</v>
      </c>
      <c r="E110">
        <v>92.245900000000006</v>
      </c>
      <c r="F110">
        <v>51.601900000000001</v>
      </c>
      <c r="G110">
        <v>76.606899999999996</v>
      </c>
      <c r="H110">
        <v>23.3931</v>
      </c>
      <c r="I110">
        <v>105</v>
      </c>
      <c r="J110">
        <v>100</v>
      </c>
      <c r="K110">
        <v>100</v>
      </c>
      <c r="L110">
        <v>100</v>
      </c>
      <c r="M110">
        <v>438756.04923900001</v>
      </c>
      <c r="N110">
        <v>75737.200760000007</v>
      </c>
      <c r="O110">
        <v>361893.58866900002</v>
      </c>
      <c r="P110">
        <v>1125.25981</v>
      </c>
      <c r="Q110">
        <v>261.12094999999999</v>
      </c>
      <c r="R110">
        <v>4000</v>
      </c>
      <c r="S110">
        <v>0.5593950517041949</v>
      </c>
    </row>
    <row r="111" spans="1:19" x14ac:dyDescent="0.2">
      <c r="A111" s="16" t="s">
        <v>9</v>
      </c>
      <c r="B111">
        <v>4</v>
      </c>
      <c r="C111">
        <v>1.2995256E-2</v>
      </c>
      <c r="D111">
        <v>84059</v>
      </c>
      <c r="E111">
        <v>92.245900000000006</v>
      </c>
      <c r="F111">
        <v>37.316600000000001</v>
      </c>
      <c r="G111">
        <v>65.694299999999998</v>
      </c>
      <c r="H111">
        <v>34.305700000000002</v>
      </c>
      <c r="I111">
        <v>105</v>
      </c>
      <c r="J111">
        <v>100</v>
      </c>
      <c r="K111">
        <v>100</v>
      </c>
      <c r="L111">
        <v>100</v>
      </c>
      <c r="M111">
        <v>628724.70799000002</v>
      </c>
      <c r="N111">
        <v>75737.200760000007</v>
      </c>
      <c r="O111">
        <v>551933.82461000001</v>
      </c>
      <c r="P111">
        <v>1053.68262</v>
      </c>
      <c r="Q111">
        <v>279.08168699999999</v>
      </c>
      <c r="R111">
        <v>4000</v>
      </c>
      <c r="S111">
        <v>0.40453396844737816</v>
      </c>
    </row>
    <row r="112" spans="1:19" x14ac:dyDescent="0.2">
      <c r="A112" s="16" t="s">
        <v>9</v>
      </c>
      <c r="B112">
        <v>4</v>
      </c>
      <c r="C112">
        <v>1.3481358000000001E-2</v>
      </c>
      <c r="D112">
        <v>84059</v>
      </c>
      <c r="E112">
        <v>92.245900000000006</v>
      </c>
      <c r="F112">
        <v>37.252400000000002</v>
      </c>
      <c r="G112">
        <v>65.632000000000005</v>
      </c>
      <c r="H112">
        <v>34.368000000000002</v>
      </c>
      <c r="I112">
        <v>105</v>
      </c>
      <c r="J112">
        <v>100</v>
      </c>
      <c r="K112">
        <v>100</v>
      </c>
      <c r="L112">
        <v>100</v>
      </c>
      <c r="M112">
        <v>628212.46239899995</v>
      </c>
      <c r="N112">
        <v>75737.200760000007</v>
      </c>
      <c r="O112">
        <v>551423.125459</v>
      </c>
      <c r="P112">
        <v>1052.13618</v>
      </c>
      <c r="Q112">
        <v>279.37718899999999</v>
      </c>
      <c r="R112">
        <v>4000</v>
      </c>
      <c r="S112">
        <v>0.40383800255621116</v>
      </c>
    </row>
    <row r="113" spans="1:19" x14ac:dyDescent="0.2">
      <c r="A113" s="16" t="s">
        <v>9</v>
      </c>
      <c r="B113">
        <v>4</v>
      </c>
      <c r="C113">
        <v>1.3285669E-2</v>
      </c>
      <c r="D113">
        <v>84059</v>
      </c>
      <c r="E113">
        <v>92.245900000000006</v>
      </c>
      <c r="F113">
        <v>37.295200000000001</v>
      </c>
      <c r="G113">
        <v>65.550200000000004</v>
      </c>
      <c r="H113">
        <v>34.449800000000003</v>
      </c>
      <c r="I113">
        <v>105</v>
      </c>
      <c r="J113">
        <v>100</v>
      </c>
      <c r="K113">
        <v>100</v>
      </c>
      <c r="L113">
        <v>100</v>
      </c>
      <c r="M113">
        <v>628215.63664000004</v>
      </c>
      <c r="N113">
        <v>75737.200760000007</v>
      </c>
      <c r="O113">
        <v>551427.11323999998</v>
      </c>
      <c r="P113">
        <v>1051.3226400000001</v>
      </c>
      <c r="Q113">
        <v>279.50991900000002</v>
      </c>
      <c r="R113">
        <v>4000</v>
      </c>
      <c r="S113">
        <v>0.40430197981698912</v>
      </c>
    </row>
    <row r="114" spans="1:19" x14ac:dyDescent="0.2">
      <c r="A114" s="16" t="s">
        <v>9</v>
      </c>
      <c r="B114">
        <v>4</v>
      </c>
      <c r="C114">
        <v>1.3842244E-2</v>
      </c>
      <c r="D114">
        <v>84059</v>
      </c>
      <c r="E114">
        <v>92.245900000000006</v>
      </c>
      <c r="F114">
        <v>37.6188</v>
      </c>
      <c r="G114">
        <v>65.565100000000001</v>
      </c>
      <c r="H114">
        <v>34.434899999999999</v>
      </c>
      <c r="I114">
        <v>105</v>
      </c>
      <c r="J114">
        <v>100</v>
      </c>
      <c r="K114">
        <v>100</v>
      </c>
      <c r="L114">
        <v>100</v>
      </c>
      <c r="M114">
        <v>627720.73873300001</v>
      </c>
      <c r="N114">
        <v>75737.200760000007</v>
      </c>
      <c r="O114">
        <v>550929.60154299997</v>
      </c>
      <c r="P114">
        <v>1053.93643</v>
      </c>
      <c r="Q114">
        <v>279.238674</v>
      </c>
      <c r="R114">
        <v>4000</v>
      </c>
      <c r="S114">
        <v>0.40780999480735725</v>
      </c>
    </row>
    <row r="115" spans="1:19" x14ac:dyDescent="0.2">
      <c r="A115" s="16" t="s">
        <v>9</v>
      </c>
      <c r="B115">
        <v>4</v>
      </c>
      <c r="C115">
        <v>1.4020711999999999E-2</v>
      </c>
      <c r="D115">
        <v>84059</v>
      </c>
      <c r="E115">
        <v>92.245900000000006</v>
      </c>
      <c r="F115">
        <v>37.421300000000002</v>
      </c>
      <c r="G115">
        <v>65.383399999999995</v>
      </c>
      <c r="H115">
        <v>34.616599999999998</v>
      </c>
      <c r="I115">
        <v>105</v>
      </c>
      <c r="J115">
        <v>100</v>
      </c>
      <c r="K115">
        <v>100</v>
      </c>
      <c r="L115">
        <v>100</v>
      </c>
      <c r="M115">
        <v>627303.44086900004</v>
      </c>
      <c r="N115">
        <v>75737.200760000007</v>
      </c>
      <c r="O115">
        <v>550514.05087899999</v>
      </c>
      <c r="P115">
        <v>1052.18923</v>
      </c>
      <c r="Q115">
        <v>280.12868300000002</v>
      </c>
      <c r="R115">
        <v>4000</v>
      </c>
      <c r="S115">
        <v>0.40566897824185139</v>
      </c>
    </row>
    <row r="116" spans="1:19" x14ac:dyDescent="0.2">
      <c r="A116" s="16" t="s">
        <v>9</v>
      </c>
      <c r="B116">
        <v>4</v>
      </c>
      <c r="C116">
        <v>1.3146936999999999E-2</v>
      </c>
      <c r="D116">
        <v>84059</v>
      </c>
      <c r="E116">
        <v>92.245900000000006</v>
      </c>
      <c r="F116">
        <v>37.293999999999997</v>
      </c>
      <c r="G116">
        <v>65.415199999999999</v>
      </c>
      <c r="H116">
        <v>34.584800000000001</v>
      </c>
      <c r="I116">
        <v>105</v>
      </c>
      <c r="J116">
        <v>100</v>
      </c>
      <c r="K116">
        <v>100</v>
      </c>
      <c r="L116">
        <v>100</v>
      </c>
      <c r="M116">
        <v>629040.99102099997</v>
      </c>
      <c r="N116">
        <v>75737.200760000007</v>
      </c>
      <c r="O116">
        <v>552249.41402100003</v>
      </c>
      <c r="P116">
        <v>1054.3762400000001</v>
      </c>
      <c r="Q116">
        <v>279.43235600000003</v>
      </c>
      <c r="R116">
        <v>4000</v>
      </c>
      <c r="S116">
        <v>0.40428897110874301</v>
      </c>
    </row>
    <row r="117" spans="1:19" x14ac:dyDescent="0.2">
      <c r="A117" s="16" t="s">
        <v>9</v>
      </c>
      <c r="B117">
        <v>4</v>
      </c>
      <c r="C117">
        <v>1.3107893000000001E-2</v>
      </c>
      <c r="D117">
        <v>84059</v>
      </c>
      <c r="E117">
        <v>92.245900000000006</v>
      </c>
      <c r="F117">
        <v>37.445099999999996</v>
      </c>
      <c r="G117">
        <v>65.414900000000003</v>
      </c>
      <c r="H117">
        <v>34.585099999999997</v>
      </c>
      <c r="I117">
        <v>105</v>
      </c>
      <c r="J117">
        <v>100</v>
      </c>
      <c r="K117">
        <v>100</v>
      </c>
      <c r="L117">
        <v>100</v>
      </c>
      <c r="M117">
        <v>627653.67498300003</v>
      </c>
      <c r="N117">
        <v>75737.200760000007</v>
      </c>
      <c r="O117">
        <v>550863.58119299996</v>
      </c>
      <c r="P117">
        <v>1052.89303</v>
      </c>
      <c r="Q117">
        <v>279.608721</v>
      </c>
      <c r="R117">
        <v>4000</v>
      </c>
      <c r="S117">
        <v>0.40592698428873253</v>
      </c>
    </row>
    <row r="118" spans="1:19" x14ac:dyDescent="0.2">
      <c r="A118" s="16" t="s">
        <v>9</v>
      </c>
      <c r="B118">
        <v>4</v>
      </c>
      <c r="C118">
        <v>1.3217035E-2</v>
      </c>
      <c r="D118">
        <v>84059</v>
      </c>
      <c r="E118">
        <v>92.245900000000006</v>
      </c>
      <c r="F118">
        <v>37.543900000000001</v>
      </c>
      <c r="G118">
        <v>65.420299999999997</v>
      </c>
      <c r="H118">
        <v>34.579700000000003</v>
      </c>
      <c r="I118">
        <v>105</v>
      </c>
      <c r="J118">
        <v>100</v>
      </c>
      <c r="K118">
        <v>100</v>
      </c>
      <c r="L118">
        <v>100</v>
      </c>
      <c r="M118">
        <v>627303.10522499995</v>
      </c>
      <c r="N118">
        <v>75737.200760000007</v>
      </c>
      <c r="O118">
        <v>550512.07879499998</v>
      </c>
      <c r="P118">
        <v>1053.8256699999999</v>
      </c>
      <c r="Q118">
        <v>279.671424</v>
      </c>
      <c r="R118">
        <v>4000</v>
      </c>
      <c r="S118">
        <v>0.40699803460099582</v>
      </c>
    </row>
    <row r="119" spans="1:19" x14ac:dyDescent="0.2">
      <c r="A119" s="16" t="s">
        <v>9</v>
      </c>
      <c r="B119">
        <v>4</v>
      </c>
      <c r="C119">
        <v>1.2966589000000001E-2</v>
      </c>
      <c r="D119">
        <v>84059</v>
      </c>
      <c r="E119">
        <v>92.245900000000006</v>
      </c>
      <c r="F119">
        <v>37.489100000000001</v>
      </c>
      <c r="G119">
        <v>65.477699999999999</v>
      </c>
      <c r="H119">
        <v>34.522300000000001</v>
      </c>
      <c r="I119">
        <v>105</v>
      </c>
      <c r="J119">
        <v>100</v>
      </c>
      <c r="K119">
        <v>100</v>
      </c>
      <c r="L119">
        <v>100</v>
      </c>
      <c r="M119">
        <v>626974.85285400006</v>
      </c>
      <c r="N119">
        <v>75737.200760000007</v>
      </c>
      <c r="O119">
        <v>550184.88850400003</v>
      </c>
      <c r="P119">
        <v>1052.76359</v>
      </c>
      <c r="Q119">
        <v>279.439415</v>
      </c>
      <c r="R119">
        <v>4000</v>
      </c>
      <c r="S119">
        <v>0.40640397025775671</v>
      </c>
    </row>
    <row r="120" spans="1:19" x14ac:dyDescent="0.2">
      <c r="A120" s="16" t="s">
        <v>9</v>
      </c>
      <c r="B120">
        <v>4</v>
      </c>
      <c r="C120">
        <v>1.3120252000000001E-2</v>
      </c>
      <c r="D120">
        <v>84059</v>
      </c>
      <c r="E120">
        <v>92.245900000000006</v>
      </c>
      <c r="F120">
        <v>37.491500000000002</v>
      </c>
      <c r="G120">
        <v>65.378399999999999</v>
      </c>
      <c r="H120">
        <v>34.621600000000001</v>
      </c>
      <c r="I120">
        <v>105</v>
      </c>
      <c r="J120">
        <v>100</v>
      </c>
      <c r="K120">
        <v>100</v>
      </c>
      <c r="L120">
        <v>100</v>
      </c>
      <c r="M120">
        <v>627458.09664</v>
      </c>
      <c r="N120">
        <v>75737.200760000007</v>
      </c>
      <c r="O120">
        <v>550667.71128000005</v>
      </c>
      <c r="P120">
        <v>1053.1846</v>
      </c>
      <c r="Q120">
        <v>280.01952299999999</v>
      </c>
      <c r="R120">
        <v>4000</v>
      </c>
      <c r="S120">
        <v>0.40642998767424893</v>
      </c>
    </row>
    <row r="121" spans="1:19" x14ac:dyDescent="0.2">
      <c r="A121" s="16" t="s">
        <v>9</v>
      </c>
      <c r="B121">
        <v>4</v>
      </c>
      <c r="C121">
        <v>1.3209489E-2</v>
      </c>
      <c r="D121">
        <v>84059</v>
      </c>
      <c r="E121">
        <v>92.245900000000006</v>
      </c>
      <c r="F121">
        <v>37.235799999999998</v>
      </c>
      <c r="G121">
        <v>65.549499999999995</v>
      </c>
      <c r="H121">
        <v>34.450499999999998</v>
      </c>
      <c r="I121">
        <v>105</v>
      </c>
      <c r="J121">
        <v>100</v>
      </c>
      <c r="K121">
        <v>100</v>
      </c>
      <c r="L121">
        <v>100</v>
      </c>
      <c r="M121">
        <v>629431.47137100005</v>
      </c>
      <c r="N121">
        <v>75737.200760000007</v>
      </c>
      <c r="O121">
        <v>552642.38561100001</v>
      </c>
      <c r="P121">
        <v>1051.885</v>
      </c>
      <c r="Q121">
        <v>279.02587</v>
      </c>
      <c r="R121">
        <v>4000</v>
      </c>
      <c r="S121">
        <v>0.40365804875880656</v>
      </c>
    </row>
    <row r="122" spans="1:19" x14ac:dyDescent="0.2">
      <c r="A122" s="16" t="s">
        <v>9</v>
      </c>
      <c r="B122">
        <v>4</v>
      </c>
      <c r="C122">
        <v>1.3698514E-2</v>
      </c>
      <c r="D122">
        <v>84059</v>
      </c>
      <c r="E122">
        <v>92.245900000000006</v>
      </c>
      <c r="F122">
        <v>37.422499999999999</v>
      </c>
      <c r="G122">
        <v>65.384500000000003</v>
      </c>
      <c r="H122">
        <v>34.615499999999997</v>
      </c>
      <c r="I122">
        <v>105</v>
      </c>
      <c r="J122">
        <v>100</v>
      </c>
      <c r="K122">
        <v>100</v>
      </c>
      <c r="L122">
        <v>100</v>
      </c>
      <c r="M122">
        <v>628116.76546899998</v>
      </c>
      <c r="N122">
        <v>75737.200760000007</v>
      </c>
      <c r="O122">
        <v>551324.75109899999</v>
      </c>
      <c r="P122">
        <v>1054.8136099999999</v>
      </c>
      <c r="Q122">
        <v>279.73418199999998</v>
      </c>
      <c r="R122">
        <v>4000</v>
      </c>
      <c r="S122">
        <v>0.4056819869500975</v>
      </c>
    </row>
    <row r="123" spans="1:19" x14ac:dyDescent="0.2">
      <c r="A123" s="16" t="s">
        <v>9</v>
      </c>
      <c r="B123">
        <v>4</v>
      </c>
      <c r="C123">
        <v>1.3950830000000001E-2</v>
      </c>
      <c r="D123">
        <v>84059</v>
      </c>
      <c r="E123">
        <v>92.245900000000006</v>
      </c>
      <c r="F123">
        <v>37.566499999999998</v>
      </c>
      <c r="G123">
        <v>65.453800000000001</v>
      </c>
      <c r="H123">
        <v>34.546199999999999</v>
      </c>
      <c r="I123">
        <v>105</v>
      </c>
      <c r="J123">
        <v>100</v>
      </c>
      <c r="K123">
        <v>100</v>
      </c>
      <c r="L123">
        <v>100</v>
      </c>
      <c r="M123">
        <v>626601.42723899998</v>
      </c>
      <c r="N123">
        <v>75737.200760000007</v>
      </c>
      <c r="O123">
        <v>549813.73319900001</v>
      </c>
      <c r="P123">
        <v>1050.4932799999999</v>
      </c>
      <c r="Q123">
        <v>279.665279</v>
      </c>
      <c r="R123">
        <v>4000</v>
      </c>
      <c r="S123">
        <v>0.40724303193963085</v>
      </c>
    </row>
    <row r="124" spans="1:19" x14ac:dyDescent="0.2">
      <c r="A124" s="16" t="s">
        <v>9</v>
      </c>
      <c r="B124">
        <v>4</v>
      </c>
      <c r="C124">
        <v>1.3175391999999999E-2</v>
      </c>
      <c r="D124">
        <v>84059</v>
      </c>
      <c r="E124">
        <v>92.245900000000006</v>
      </c>
      <c r="F124">
        <v>37.460599999999999</v>
      </c>
      <c r="G124">
        <v>65.359300000000005</v>
      </c>
      <c r="H124">
        <v>34.640700000000002</v>
      </c>
      <c r="I124">
        <v>105</v>
      </c>
      <c r="J124">
        <v>100</v>
      </c>
      <c r="K124">
        <v>100</v>
      </c>
      <c r="L124">
        <v>100</v>
      </c>
      <c r="M124">
        <v>627464.24506900006</v>
      </c>
      <c r="N124">
        <v>75737.200760000007</v>
      </c>
      <c r="O124">
        <v>550674.74515900004</v>
      </c>
      <c r="P124">
        <v>1052.2991500000001</v>
      </c>
      <c r="Q124">
        <v>279.747728</v>
      </c>
      <c r="R124">
        <v>4000</v>
      </c>
      <c r="S124">
        <v>0.40609501343691151</v>
      </c>
    </row>
    <row r="125" spans="1:19" x14ac:dyDescent="0.2">
      <c r="A125" s="16" t="s">
        <v>9</v>
      </c>
      <c r="B125">
        <v>4</v>
      </c>
      <c r="C125">
        <v>1.3812273999999999E-2</v>
      </c>
      <c r="D125">
        <v>84059</v>
      </c>
      <c r="E125">
        <v>92.245900000000006</v>
      </c>
      <c r="F125">
        <v>37.332099999999997</v>
      </c>
      <c r="G125">
        <v>65.826499999999996</v>
      </c>
      <c r="H125">
        <v>34.173499999999997</v>
      </c>
      <c r="I125">
        <v>105</v>
      </c>
      <c r="J125">
        <v>100</v>
      </c>
      <c r="K125">
        <v>100</v>
      </c>
      <c r="L125">
        <v>100</v>
      </c>
      <c r="M125">
        <v>629017.75460900005</v>
      </c>
      <c r="N125">
        <v>75737.200760000007</v>
      </c>
      <c r="O125">
        <v>552227.32916900003</v>
      </c>
      <c r="P125">
        <v>1053.22468</v>
      </c>
      <c r="Q125">
        <v>278.97636699999998</v>
      </c>
      <c r="R125">
        <v>4000</v>
      </c>
      <c r="S125">
        <v>0.40470199759555703</v>
      </c>
    </row>
    <row r="126" spans="1:19" x14ac:dyDescent="0.2">
      <c r="A126" s="16" t="s">
        <v>9</v>
      </c>
      <c r="B126">
        <v>4</v>
      </c>
      <c r="C126">
        <v>1.3191845000000001E-2</v>
      </c>
      <c r="D126">
        <v>84059</v>
      </c>
      <c r="E126">
        <v>92.245900000000006</v>
      </c>
      <c r="F126">
        <v>37.5486</v>
      </c>
      <c r="G126">
        <v>65.269499999999994</v>
      </c>
      <c r="H126">
        <v>34.730499999999999</v>
      </c>
      <c r="I126">
        <v>105</v>
      </c>
      <c r="J126">
        <v>100</v>
      </c>
      <c r="K126">
        <v>100</v>
      </c>
      <c r="L126">
        <v>100</v>
      </c>
      <c r="M126">
        <v>626773.15763100004</v>
      </c>
      <c r="N126">
        <v>75737.200760000007</v>
      </c>
      <c r="O126">
        <v>549983.780531</v>
      </c>
      <c r="P126">
        <v>1052.17634</v>
      </c>
      <c r="Q126">
        <v>280.05198300000001</v>
      </c>
      <c r="R126">
        <v>4000</v>
      </c>
      <c r="S126">
        <v>0.40704898537495976</v>
      </c>
    </row>
    <row r="127" spans="1:19" x14ac:dyDescent="0.2">
      <c r="A127" s="16" t="s">
        <v>9</v>
      </c>
      <c r="B127">
        <v>4</v>
      </c>
      <c r="C127">
        <v>1.3611791E-2</v>
      </c>
      <c r="D127">
        <v>84059</v>
      </c>
      <c r="E127">
        <v>92.245900000000006</v>
      </c>
      <c r="F127">
        <v>37.738999999999997</v>
      </c>
      <c r="G127">
        <v>65.526600000000002</v>
      </c>
      <c r="H127">
        <v>34.473399999999998</v>
      </c>
      <c r="I127">
        <v>105</v>
      </c>
      <c r="J127">
        <v>100</v>
      </c>
      <c r="K127">
        <v>100</v>
      </c>
      <c r="L127">
        <v>100</v>
      </c>
      <c r="M127">
        <v>626666.95562200004</v>
      </c>
      <c r="N127">
        <v>75737.200760000007</v>
      </c>
      <c r="O127">
        <v>549876.09274200001</v>
      </c>
      <c r="P127">
        <v>1053.66212</v>
      </c>
      <c r="Q127">
        <v>279.25419099999999</v>
      </c>
      <c r="R127">
        <v>4000</v>
      </c>
      <c r="S127">
        <v>0.4091130337500094</v>
      </c>
    </row>
    <row r="128" spans="1:19" x14ac:dyDescent="0.2">
      <c r="A128" s="16" t="s">
        <v>9</v>
      </c>
      <c r="B128">
        <v>4</v>
      </c>
      <c r="C128">
        <v>1.3082206000000001E-2</v>
      </c>
      <c r="D128">
        <v>84059</v>
      </c>
      <c r="E128">
        <v>92.245900000000006</v>
      </c>
      <c r="F128">
        <v>37.387999999999998</v>
      </c>
      <c r="G128">
        <v>65.247500000000002</v>
      </c>
      <c r="H128">
        <v>34.752499999999998</v>
      </c>
      <c r="I128">
        <v>105</v>
      </c>
      <c r="J128">
        <v>100</v>
      </c>
      <c r="K128">
        <v>100</v>
      </c>
      <c r="L128">
        <v>100</v>
      </c>
      <c r="M128">
        <v>627945.68978300004</v>
      </c>
      <c r="N128">
        <v>75737.200760000007</v>
      </c>
      <c r="O128">
        <v>551156.28725299996</v>
      </c>
      <c r="P128">
        <v>1052.2017699999999</v>
      </c>
      <c r="Q128">
        <v>279.48606799999999</v>
      </c>
      <c r="R128">
        <v>4000</v>
      </c>
      <c r="S128">
        <v>0.40530798658802175</v>
      </c>
    </row>
    <row r="129" spans="1:19" x14ac:dyDescent="0.2">
      <c r="A129" s="16" t="s">
        <v>9</v>
      </c>
      <c r="B129">
        <v>4</v>
      </c>
      <c r="C129">
        <v>1.3567806999999999E-2</v>
      </c>
      <c r="D129">
        <v>84059</v>
      </c>
      <c r="E129">
        <v>92.245900000000006</v>
      </c>
      <c r="F129">
        <v>37.371400000000001</v>
      </c>
      <c r="G129">
        <v>65.384900000000002</v>
      </c>
      <c r="H129">
        <v>34.615099999999998</v>
      </c>
      <c r="I129">
        <v>105</v>
      </c>
      <c r="J129">
        <v>100</v>
      </c>
      <c r="K129">
        <v>100</v>
      </c>
      <c r="L129">
        <v>100</v>
      </c>
      <c r="M129">
        <v>627809.96216600004</v>
      </c>
      <c r="N129">
        <v>75737.200760000007</v>
      </c>
      <c r="O129">
        <v>551018.85035600001</v>
      </c>
      <c r="P129">
        <v>1053.9110499999999</v>
      </c>
      <c r="Q129">
        <v>279.91094099999998</v>
      </c>
      <c r="R129">
        <v>4000</v>
      </c>
      <c r="S129">
        <v>0.40512803279061727</v>
      </c>
    </row>
    <row r="130" spans="1:19" x14ac:dyDescent="0.2">
      <c r="A130" s="16" t="s">
        <v>9</v>
      </c>
      <c r="B130">
        <v>4</v>
      </c>
      <c r="C130">
        <v>1.3083677E-2</v>
      </c>
      <c r="D130">
        <v>84059</v>
      </c>
      <c r="E130">
        <v>92.245900000000006</v>
      </c>
      <c r="F130">
        <v>37.7104</v>
      </c>
      <c r="G130">
        <v>65.263900000000007</v>
      </c>
      <c r="H130">
        <v>34.7361</v>
      </c>
      <c r="I130">
        <v>105</v>
      </c>
      <c r="J130">
        <v>100</v>
      </c>
      <c r="K130">
        <v>100</v>
      </c>
      <c r="L130">
        <v>100</v>
      </c>
      <c r="M130">
        <v>625145.05120700004</v>
      </c>
      <c r="N130">
        <v>75737.200760000007</v>
      </c>
      <c r="O130">
        <v>548352.47274700005</v>
      </c>
      <c r="P130">
        <v>1055.3777</v>
      </c>
      <c r="Q130">
        <v>279.75171599999999</v>
      </c>
      <c r="R130">
        <v>4000</v>
      </c>
      <c r="S130">
        <v>0.40880299287014382</v>
      </c>
    </row>
    <row r="131" spans="1:19" x14ac:dyDescent="0.2">
      <c r="A131" s="16" t="s">
        <v>9</v>
      </c>
      <c r="B131">
        <v>4</v>
      </c>
      <c r="C131">
        <v>1.3363956E-2</v>
      </c>
      <c r="D131">
        <v>84059</v>
      </c>
      <c r="E131">
        <v>92.245900000000006</v>
      </c>
      <c r="F131">
        <v>37.461799999999997</v>
      </c>
      <c r="G131">
        <v>65.255600000000001</v>
      </c>
      <c r="H131">
        <v>34.744399999999999</v>
      </c>
      <c r="I131">
        <v>105</v>
      </c>
      <c r="J131">
        <v>100</v>
      </c>
      <c r="K131">
        <v>100</v>
      </c>
      <c r="L131">
        <v>100</v>
      </c>
      <c r="M131">
        <v>627126.04771199997</v>
      </c>
      <c r="N131">
        <v>75737.200760000007</v>
      </c>
      <c r="O131">
        <v>550334.58952200005</v>
      </c>
      <c r="P131">
        <v>1054.2574300000001</v>
      </c>
      <c r="Q131">
        <v>280.080737</v>
      </c>
      <c r="R131">
        <v>4000</v>
      </c>
      <c r="S131">
        <v>0.40610802214515762</v>
      </c>
    </row>
    <row r="132" spans="1:19" x14ac:dyDescent="0.2">
      <c r="A132" s="16" t="s">
        <v>9</v>
      </c>
      <c r="B132">
        <v>4</v>
      </c>
      <c r="C132">
        <v>1.2923145E-2</v>
      </c>
      <c r="D132">
        <v>84059</v>
      </c>
      <c r="E132">
        <v>92.245900000000006</v>
      </c>
      <c r="F132">
        <v>37.342799999999997</v>
      </c>
      <c r="G132">
        <v>65.390299999999996</v>
      </c>
      <c r="H132">
        <v>34.609699999999997</v>
      </c>
      <c r="I132">
        <v>105</v>
      </c>
      <c r="J132">
        <v>100</v>
      </c>
      <c r="K132">
        <v>100</v>
      </c>
      <c r="L132">
        <v>100</v>
      </c>
      <c r="M132">
        <v>628261.65577499999</v>
      </c>
      <c r="N132">
        <v>75737.200760000007</v>
      </c>
      <c r="O132">
        <v>551472.53839500004</v>
      </c>
      <c r="P132">
        <v>1051.91662</v>
      </c>
      <c r="Q132">
        <v>279.38800700000002</v>
      </c>
      <c r="R132">
        <v>4000</v>
      </c>
      <c r="S132">
        <v>0.40481799191075152</v>
      </c>
    </row>
    <row r="133" spans="1:19" x14ac:dyDescent="0.2">
      <c r="A133" s="16" t="s">
        <v>9</v>
      </c>
      <c r="B133">
        <v>4</v>
      </c>
      <c r="C133">
        <v>1.3972221999999999E-2</v>
      </c>
      <c r="D133">
        <v>84059</v>
      </c>
      <c r="E133">
        <v>92.245900000000006</v>
      </c>
      <c r="F133">
        <v>37.195300000000003</v>
      </c>
      <c r="G133">
        <v>65.188999999999993</v>
      </c>
      <c r="H133">
        <v>34.811</v>
      </c>
      <c r="I133">
        <v>105</v>
      </c>
      <c r="J133">
        <v>100</v>
      </c>
      <c r="K133">
        <v>100</v>
      </c>
      <c r="L133">
        <v>100</v>
      </c>
      <c r="M133">
        <v>629550.09962200001</v>
      </c>
      <c r="N133">
        <v>75737.200760000007</v>
      </c>
      <c r="O133">
        <v>552761.00572200003</v>
      </c>
      <c r="P133">
        <v>1051.8931399999999</v>
      </c>
      <c r="Q133">
        <v>280.200063</v>
      </c>
      <c r="R133">
        <v>4000</v>
      </c>
      <c r="S133">
        <v>0.40321900485550038</v>
      </c>
    </row>
    <row r="134" spans="1:19" x14ac:dyDescent="0.2">
      <c r="A134" s="16" t="s">
        <v>9</v>
      </c>
      <c r="B134">
        <v>4</v>
      </c>
      <c r="C134">
        <v>1.3708484E-2</v>
      </c>
      <c r="D134">
        <v>84059</v>
      </c>
      <c r="E134">
        <v>92.245900000000006</v>
      </c>
      <c r="F134">
        <v>37.402299999999997</v>
      </c>
      <c r="G134">
        <v>65.566199999999995</v>
      </c>
      <c r="H134">
        <v>34.433799999999998</v>
      </c>
      <c r="I134">
        <v>105</v>
      </c>
      <c r="J134">
        <v>100</v>
      </c>
      <c r="K134">
        <v>100</v>
      </c>
      <c r="L134">
        <v>100</v>
      </c>
      <c r="M134">
        <v>626358.58175300003</v>
      </c>
      <c r="N134">
        <v>75737.200760000007</v>
      </c>
      <c r="O134">
        <v>549567.86043300002</v>
      </c>
      <c r="P134">
        <v>1053.5205599999999</v>
      </c>
      <c r="Q134">
        <v>279.4348</v>
      </c>
      <c r="R134">
        <v>4000</v>
      </c>
      <c r="S134">
        <v>0.40546300702795457</v>
      </c>
    </row>
    <row r="135" spans="1:19" x14ac:dyDescent="0.2">
      <c r="A135" s="16" t="s">
        <v>9</v>
      </c>
      <c r="B135">
        <v>4</v>
      </c>
      <c r="C135">
        <v>1.3267098999999999E-2</v>
      </c>
      <c r="D135">
        <v>84059</v>
      </c>
      <c r="E135">
        <v>92.245900000000006</v>
      </c>
      <c r="F135">
        <v>37.397500000000001</v>
      </c>
      <c r="G135">
        <v>65.453599999999994</v>
      </c>
      <c r="H135">
        <v>34.546399999999998</v>
      </c>
      <c r="I135">
        <v>105</v>
      </c>
      <c r="J135">
        <v>100</v>
      </c>
      <c r="K135">
        <v>100</v>
      </c>
      <c r="L135">
        <v>100</v>
      </c>
      <c r="M135">
        <v>628330.889555</v>
      </c>
      <c r="N135">
        <v>75737.200760000007</v>
      </c>
      <c r="O135">
        <v>551540.01295500004</v>
      </c>
      <c r="P135">
        <v>1053.6758400000001</v>
      </c>
      <c r="Q135">
        <v>279.11309499999999</v>
      </c>
      <c r="R135">
        <v>4000</v>
      </c>
      <c r="S135">
        <v>0.40541097219497019</v>
      </c>
    </row>
    <row r="136" spans="1:19" x14ac:dyDescent="0.2">
      <c r="A136" s="16" t="s">
        <v>9</v>
      </c>
      <c r="B136">
        <v>4</v>
      </c>
      <c r="C136">
        <v>1.2951905E-2</v>
      </c>
      <c r="D136">
        <v>84059</v>
      </c>
      <c r="E136">
        <v>92.245900000000006</v>
      </c>
      <c r="F136">
        <v>37.560499999999998</v>
      </c>
      <c r="G136">
        <v>65.315299999999993</v>
      </c>
      <c r="H136">
        <v>34.684699999999999</v>
      </c>
      <c r="I136">
        <v>105</v>
      </c>
      <c r="J136">
        <v>100</v>
      </c>
      <c r="K136">
        <v>100</v>
      </c>
      <c r="L136">
        <v>100</v>
      </c>
      <c r="M136">
        <v>627156.61429900001</v>
      </c>
      <c r="N136">
        <v>75737.200760000007</v>
      </c>
      <c r="O136">
        <v>550367.06435899995</v>
      </c>
      <c r="P136">
        <v>1052.3491799999999</v>
      </c>
      <c r="Q136">
        <v>280.29084</v>
      </c>
      <c r="R136">
        <v>4000</v>
      </c>
      <c r="S136">
        <v>0.4071779883984003</v>
      </c>
    </row>
    <row r="137" spans="1:19" x14ac:dyDescent="0.2">
      <c r="A137" s="16" t="s">
        <v>9</v>
      </c>
      <c r="B137">
        <v>4</v>
      </c>
      <c r="C137">
        <v>1.3694436000000001E-2</v>
      </c>
      <c r="D137">
        <v>84059</v>
      </c>
      <c r="E137">
        <v>92.245900000000006</v>
      </c>
      <c r="F137">
        <v>37.302399999999999</v>
      </c>
      <c r="G137">
        <v>65.234700000000004</v>
      </c>
      <c r="H137">
        <v>34.765300000000003</v>
      </c>
      <c r="I137">
        <v>105</v>
      </c>
      <c r="J137">
        <v>100</v>
      </c>
      <c r="K137">
        <v>100</v>
      </c>
      <c r="L137">
        <v>100</v>
      </c>
      <c r="M137">
        <v>628627.842328</v>
      </c>
      <c r="N137">
        <v>75737.200760000007</v>
      </c>
      <c r="O137">
        <v>551838.768958</v>
      </c>
      <c r="P137">
        <v>1051.8726099999999</v>
      </c>
      <c r="Q137">
        <v>280.25559500000003</v>
      </c>
      <c r="R137">
        <v>4000</v>
      </c>
      <c r="S137">
        <v>0.40438003206646578</v>
      </c>
    </row>
    <row r="138" spans="1:19" x14ac:dyDescent="0.2">
      <c r="A138" s="16" t="s">
        <v>9</v>
      </c>
      <c r="B138">
        <v>4</v>
      </c>
      <c r="C138">
        <v>1.3586239E-2</v>
      </c>
      <c r="D138">
        <v>84059</v>
      </c>
      <c r="E138">
        <v>92.245900000000006</v>
      </c>
      <c r="F138">
        <v>37.438000000000002</v>
      </c>
      <c r="G138">
        <v>65.354299999999995</v>
      </c>
      <c r="H138">
        <v>34.645699999999998</v>
      </c>
      <c r="I138">
        <v>105</v>
      </c>
      <c r="J138">
        <v>100</v>
      </c>
      <c r="K138">
        <v>100</v>
      </c>
      <c r="L138">
        <v>100</v>
      </c>
      <c r="M138">
        <v>627553.12075300002</v>
      </c>
      <c r="N138">
        <v>75737.200760000007</v>
      </c>
      <c r="O138">
        <v>550762.54051299999</v>
      </c>
      <c r="P138">
        <v>1053.3794800000001</v>
      </c>
      <c r="Q138">
        <v>280.13123100000001</v>
      </c>
      <c r="R138">
        <v>4000</v>
      </c>
      <c r="S138">
        <v>0.40585001609827648</v>
      </c>
    </row>
    <row r="139" spans="1:19" x14ac:dyDescent="0.2">
      <c r="A139" s="16" t="s">
        <v>9</v>
      </c>
      <c r="B139">
        <v>4</v>
      </c>
      <c r="C139">
        <v>1.389808E-2</v>
      </c>
      <c r="D139">
        <v>84059</v>
      </c>
      <c r="E139">
        <v>92.245900000000006</v>
      </c>
      <c r="F139">
        <v>37.752099999999999</v>
      </c>
      <c r="G139">
        <v>65.756</v>
      </c>
      <c r="H139">
        <v>34.244</v>
      </c>
      <c r="I139">
        <v>105</v>
      </c>
      <c r="J139">
        <v>100</v>
      </c>
      <c r="K139">
        <v>100</v>
      </c>
      <c r="L139">
        <v>100</v>
      </c>
      <c r="M139">
        <v>625330.34887800005</v>
      </c>
      <c r="N139">
        <v>75737.200760000007</v>
      </c>
      <c r="O139">
        <v>548538.79086800001</v>
      </c>
      <c r="P139">
        <v>1054.35725</v>
      </c>
      <c r="Q139">
        <v>278.84509400000002</v>
      </c>
      <c r="R139">
        <v>4000</v>
      </c>
      <c r="S139">
        <v>0.40925504548169617</v>
      </c>
    </row>
    <row r="140" spans="1:19" x14ac:dyDescent="0.2">
      <c r="A140" s="16" t="s">
        <v>9</v>
      </c>
      <c r="B140">
        <v>4</v>
      </c>
      <c r="C140">
        <v>1.3075799000000001E-2</v>
      </c>
      <c r="D140">
        <v>84059</v>
      </c>
      <c r="E140">
        <v>92.245900000000006</v>
      </c>
      <c r="F140">
        <v>37.365400000000001</v>
      </c>
      <c r="G140">
        <v>65.328400000000002</v>
      </c>
      <c r="H140">
        <v>34.671599999999998</v>
      </c>
      <c r="I140">
        <v>105</v>
      </c>
      <c r="J140">
        <v>100</v>
      </c>
      <c r="K140">
        <v>100</v>
      </c>
      <c r="L140">
        <v>100</v>
      </c>
      <c r="M140">
        <v>628356.75867699995</v>
      </c>
      <c r="N140">
        <v>75737.200760000007</v>
      </c>
      <c r="O140">
        <v>551566.37534699996</v>
      </c>
      <c r="P140">
        <v>1053.1825699999999</v>
      </c>
      <c r="Q140">
        <v>279.41479800000002</v>
      </c>
      <c r="R140">
        <v>4000</v>
      </c>
      <c r="S140">
        <v>0.40506298924938666</v>
      </c>
    </row>
    <row r="141" spans="1:19" x14ac:dyDescent="0.2">
      <c r="A141" s="16" t="s">
        <v>9</v>
      </c>
      <c r="B141">
        <v>4</v>
      </c>
      <c r="C141">
        <v>1.3353545E-2</v>
      </c>
      <c r="D141">
        <v>84059</v>
      </c>
      <c r="E141">
        <v>92.245900000000006</v>
      </c>
      <c r="F141">
        <v>37.491500000000002</v>
      </c>
      <c r="G141">
        <v>65.571899999999999</v>
      </c>
      <c r="H141">
        <v>34.428100000000001</v>
      </c>
      <c r="I141">
        <v>105</v>
      </c>
      <c r="J141">
        <v>100</v>
      </c>
      <c r="K141">
        <v>100</v>
      </c>
      <c r="L141">
        <v>100</v>
      </c>
      <c r="M141">
        <v>627029.53274199995</v>
      </c>
      <c r="N141">
        <v>75737.200760000007</v>
      </c>
      <c r="O141">
        <v>550238.132522</v>
      </c>
      <c r="P141">
        <v>1054.19946</v>
      </c>
      <c r="Q141">
        <v>279.21457099999998</v>
      </c>
      <c r="R141">
        <v>4000</v>
      </c>
      <c r="S141">
        <v>0.40642998767424893</v>
      </c>
    </row>
    <row r="142" spans="1:19" x14ac:dyDescent="0.2">
      <c r="A142" s="16" t="s">
        <v>9</v>
      </c>
      <c r="B142">
        <v>4</v>
      </c>
      <c r="C142">
        <v>1.2995876999999999E-2</v>
      </c>
      <c r="D142">
        <v>84059</v>
      </c>
      <c r="E142">
        <v>92.245900000000006</v>
      </c>
      <c r="F142">
        <v>37.200099999999999</v>
      </c>
      <c r="G142">
        <v>65.289400000000001</v>
      </c>
      <c r="H142">
        <v>34.710599999999999</v>
      </c>
      <c r="I142">
        <v>105</v>
      </c>
      <c r="J142">
        <v>100</v>
      </c>
      <c r="K142">
        <v>100</v>
      </c>
      <c r="L142">
        <v>100</v>
      </c>
      <c r="M142">
        <v>629705.18755799998</v>
      </c>
      <c r="N142">
        <v>75737.200760000007</v>
      </c>
      <c r="O142">
        <v>552915.65030800004</v>
      </c>
      <c r="P142">
        <v>1052.3364899999999</v>
      </c>
      <c r="Q142">
        <v>279.49710399999998</v>
      </c>
      <c r="R142">
        <v>4000</v>
      </c>
      <c r="S142">
        <v>0.40327103968848477</v>
      </c>
    </row>
    <row r="143" spans="1:19" x14ac:dyDescent="0.2">
      <c r="A143" s="16" t="s">
        <v>9</v>
      </c>
      <c r="B143">
        <v>4</v>
      </c>
      <c r="C143">
        <v>1.3385007000000001E-2</v>
      </c>
      <c r="D143">
        <v>84059</v>
      </c>
      <c r="E143">
        <v>92.245900000000006</v>
      </c>
      <c r="F143">
        <v>37.3202</v>
      </c>
      <c r="G143">
        <v>65.222700000000003</v>
      </c>
      <c r="H143">
        <v>34.777299999999997</v>
      </c>
      <c r="I143">
        <v>105</v>
      </c>
      <c r="J143">
        <v>100</v>
      </c>
      <c r="K143">
        <v>100</v>
      </c>
      <c r="L143">
        <v>100</v>
      </c>
      <c r="M143">
        <v>627581.416707</v>
      </c>
      <c r="N143">
        <v>75737.200760000007</v>
      </c>
      <c r="O143">
        <v>550791.99553700001</v>
      </c>
      <c r="P143">
        <v>1052.2204099999999</v>
      </c>
      <c r="Q143">
        <v>279.83672899999999</v>
      </c>
      <c r="R143">
        <v>4000</v>
      </c>
      <c r="S143">
        <v>0.40457299457211643</v>
      </c>
    </row>
    <row r="144" spans="1:19" x14ac:dyDescent="0.2">
      <c r="A144" s="16" t="s">
        <v>9</v>
      </c>
      <c r="B144">
        <v>4</v>
      </c>
      <c r="C144">
        <v>1.3202475E-2</v>
      </c>
      <c r="D144">
        <v>84059</v>
      </c>
      <c r="E144">
        <v>92.245900000000006</v>
      </c>
      <c r="F144">
        <v>37.408200000000001</v>
      </c>
      <c r="G144">
        <v>65.431700000000006</v>
      </c>
      <c r="H144">
        <v>34.568300000000001</v>
      </c>
      <c r="I144">
        <v>105</v>
      </c>
      <c r="J144">
        <v>100</v>
      </c>
      <c r="K144">
        <v>100</v>
      </c>
      <c r="L144">
        <v>100</v>
      </c>
      <c r="M144">
        <v>628196.94675</v>
      </c>
      <c r="N144">
        <v>75737.200760000007</v>
      </c>
      <c r="O144">
        <v>551408.40234000003</v>
      </c>
      <c r="P144">
        <v>1051.34365</v>
      </c>
      <c r="Q144">
        <v>280.00156900000002</v>
      </c>
      <c r="R144">
        <v>4000</v>
      </c>
      <c r="S144">
        <v>0.40552696651016468</v>
      </c>
    </row>
    <row r="145" spans="1:19" x14ac:dyDescent="0.2">
      <c r="A145" s="16" t="s">
        <v>9</v>
      </c>
      <c r="B145">
        <v>4</v>
      </c>
      <c r="C145">
        <v>1.3440440999999999E-2</v>
      </c>
      <c r="D145">
        <v>84059</v>
      </c>
      <c r="E145">
        <v>92.245900000000006</v>
      </c>
      <c r="F145">
        <v>37.668799999999997</v>
      </c>
      <c r="G145">
        <v>65.298100000000005</v>
      </c>
      <c r="H145">
        <v>34.701900000000002</v>
      </c>
      <c r="I145">
        <v>105</v>
      </c>
      <c r="J145">
        <v>100</v>
      </c>
      <c r="K145">
        <v>100</v>
      </c>
      <c r="L145">
        <v>100</v>
      </c>
      <c r="M145">
        <v>626137.68316000002</v>
      </c>
      <c r="N145">
        <v>75737.200760000007</v>
      </c>
      <c r="O145">
        <v>549348.34808000003</v>
      </c>
      <c r="P145">
        <v>1052.1343199999999</v>
      </c>
      <c r="Q145">
        <v>279.89757400000002</v>
      </c>
      <c r="R145">
        <v>4000</v>
      </c>
      <c r="S145">
        <v>0.40835202431761192</v>
      </c>
    </row>
    <row r="146" spans="1:19" x14ac:dyDescent="0.2">
      <c r="A146" s="16" t="s">
        <v>5</v>
      </c>
      <c r="B146">
        <v>4</v>
      </c>
      <c r="C146">
        <v>0.211900385</v>
      </c>
      <c r="D146">
        <v>104717</v>
      </c>
      <c r="E146">
        <v>92.058599999999998</v>
      </c>
      <c r="F146">
        <v>51.900799999999997</v>
      </c>
      <c r="G146">
        <v>77.052000000000007</v>
      </c>
      <c r="H146">
        <v>22.948</v>
      </c>
      <c r="I146">
        <v>105</v>
      </c>
      <c r="J146">
        <v>100</v>
      </c>
      <c r="K146">
        <v>100</v>
      </c>
      <c r="L146">
        <v>100</v>
      </c>
      <c r="M146">
        <v>541822.39735800005</v>
      </c>
      <c r="N146">
        <v>95902.552188000001</v>
      </c>
      <c r="O146">
        <v>444512.52239</v>
      </c>
      <c r="P146">
        <v>1407.32278</v>
      </c>
      <c r="Q146">
        <v>259.4633</v>
      </c>
      <c r="R146">
        <v>5000</v>
      </c>
      <c r="S146">
        <v>0.56378002706971431</v>
      </c>
    </row>
    <row r="147" spans="1:19" x14ac:dyDescent="0.2">
      <c r="A147" s="16" t="s">
        <v>9</v>
      </c>
      <c r="B147">
        <v>4</v>
      </c>
      <c r="C147">
        <v>1.6357549999999998E-2</v>
      </c>
      <c r="D147">
        <v>104717</v>
      </c>
      <c r="E147">
        <v>92.058599999999998</v>
      </c>
      <c r="F147">
        <v>37.585099999999997</v>
      </c>
      <c r="G147">
        <v>65.409800000000004</v>
      </c>
      <c r="H147">
        <v>34.590200000000003</v>
      </c>
      <c r="I147">
        <v>105</v>
      </c>
      <c r="J147">
        <v>100</v>
      </c>
      <c r="K147">
        <v>100</v>
      </c>
      <c r="L147">
        <v>100</v>
      </c>
      <c r="M147">
        <v>777827.66960799997</v>
      </c>
      <c r="N147">
        <v>95902.552188000001</v>
      </c>
      <c r="O147">
        <v>680609.35964000004</v>
      </c>
      <c r="P147">
        <v>1315.7577799999999</v>
      </c>
      <c r="Q147">
        <v>279.550297</v>
      </c>
      <c r="R147">
        <v>5000</v>
      </c>
      <c r="S147">
        <v>0.40827364309255187</v>
      </c>
    </row>
    <row r="148" spans="1:19" x14ac:dyDescent="0.2">
      <c r="A148" s="16" t="s">
        <v>9</v>
      </c>
      <c r="B148">
        <v>4</v>
      </c>
      <c r="C148">
        <v>1.7474900000000002E-2</v>
      </c>
      <c r="D148">
        <v>104717</v>
      </c>
      <c r="E148">
        <v>92.058599999999998</v>
      </c>
      <c r="F148">
        <v>37.490600000000001</v>
      </c>
      <c r="G148">
        <v>65.503500000000003</v>
      </c>
      <c r="H148">
        <v>34.496499999999997</v>
      </c>
      <c r="I148">
        <v>105</v>
      </c>
      <c r="J148">
        <v>100</v>
      </c>
      <c r="K148">
        <v>100</v>
      </c>
      <c r="L148">
        <v>100</v>
      </c>
      <c r="M148">
        <v>780671.87436799996</v>
      </c>
      <c r="N148">
        <v>95902.552188000001</v>
      </c>
      <c r="O148">
        <v>683454.74798999995</v>
      </c>
      <c r="P148">
        <v>1314.57419</v>
      </c>
      <c r="Q148">
        <v>279.07014099999998</v>
      </c>
      <c r="R148">
        <v>5000</v>
      </c>
      <c r="S148">
        <v>0.40724712302815819</v>
      </c>
    </row>
    <row r="149" spans="1:19" x14ac:dyDescent="0.2">
      <c r="A149" s="16" t="s">
        <v>9</v>
      </c>
      <c r="B149">
        <v>4</v>
      </c>
      <c r="C149">
        <v>1.6677363000000001E-2</v>
      </c>
      <c r="D149">
        <v>104717</v>
      </c>
      <c r="E149">
        <v>92.058599999999998</v>
      </c>
      <c r="F149">
        <v>37.371200000000002</v>
      </c>
      <c r="G149">
        <v>65.771500000000003</v>
      </c>
      <c r="H149">
        <v>34.228499999999997</v>
      </c>
      <c r="I149">
        <v>105</v>
      </c>
      <c r="J149">
        <v>100</v>
      </c>
      <c r="K149">
        <v>100</v>
      </c>
      <c r="L149">
        <v>100</v>
      </c>
      <c r="M149">
        <v>780636.12817000004</v>
      </c>
      <c r="N149">
        <v>95902.552188000001</v>
      </c>
      <c r="O149">
        <v>683416.79339200002</v>
      </c>
      <c r="P149">
        <v>1316.78259</v>
      </c>
      <c r="Q149">
        <v>278.33357100000001</v>
      </c>
      <c r="R149">
        <v>5000</v>
      </c>
      <c r="S149">
        <v>0.40595012307378131</v>
      </c>
    </row>
    <row r="150" spans="1:19" x14ac:dyDescent="0.2">
      <c r="A150" s="16" t="s">
        <v>9</v>
      </c>
      <c r="B150">
        <v>4</v>
      </c>
      <c r="C150">
        <v>1.7522755000000001E-2</v>
      </c>
      <c r="D150">
        <v>104717</v>
      </c>
      <c r="E150">
        <v>92.058599999999998</v>
      </c>
      <c r="F150">
        <v>37.457099999999997</v>
      </c>
      <c r="G150">
        <v>65.658799999999999</v>
      </c>
      <c r="H150">
        <v>34.341200000000001</v>
      </c>
      <c r="I150">
        <v>105</v>
      </c>
      <c r="J150">
        <v>100</v>
      </c>
      <c r="K150">
        <v>100</v>
      </c>
      <c r="L150">
        <v>100</v>
      </c>
      <c r="M150">
        <v>780050.41984900006</v>
      </c>
      <c r="N150">
        <v>95902.552188000001</v>
      </c>
      <c r="O150">
        <v>682829.97152100003</v>
      </c>
      <c r="P150">
        <v>1317.8961400000001</v>
      </c>
      <c r="Q150">
        <v>278.67197900000002</v>
      </c>
      <c r="R150">
        <v>5000</v>
      </c>
      <c r="S150">
        <v>0.40688322438099206</v>
      </c>
    </row>
    <row r="151" spans="1:19" x14ac:dyDescent="0.2">
      <c r="A151" s="16" t="s">
        <v>9</v>
      </c>
      <c r="B151">
        <v>4</v>
      </c>
      <c r="C151">
        <v>1.6217755E-2</v>
      </c>
      <c r="D151">
        <v>104717</v>
      </c>
      <c r="E151">
        <v>92.058599999999998</v>
      </c>
      <c r="F151">
        <v>37.355899999999998</v>
      </c>
      <c r="G151">
        <v>65.601500000000001</v>
      </c>
      <c r="H151">
        <v>34.398499999999999</v>
      </c>
      <c r="I151">
        <v>105</v>
      </c>
      <c r="J151">
        <v>100</v>
      </c>
      <c r="K151">
        <v>100</v>
      </c>
      <c r="L151">
        <v>100</v>
      </c>
      <c r="M151">
        <v>779897.57421999995</v>
      </c>
      <c r="N151">
        <v>95902.552188000001</v>
      </c>
      <c r="O151">
        <v>682678.04311199998</v>
      </c>
      <c r="P151">
        <v>1316.97892</v>
      </c>
      <c r="Q151">
        <v>278.86598500000002</v>
      </c>
      <c r="R151">
        <v>5000</v>
      </c>
      <c r="S151">
        <v>0.40578392458716511</v>
      </c>
    </row>
    <row r="152" spans="1:19" x14ac:dyDescent="0.2">
      <c r="A152" s="16" t="s">
        <v>9</v>
      </c>
      <c r="B152">
        <v>4</v>
      </c>
      <c r="C152">
        <v>1.6080614E-2</v>
      </c>
      <c r="D152">
        <v>104717</v>
      </c>
      <c r="E152">
        <v>92.058599999999998</v>
      </c>
      <c r="F152">
        <v>37.3827</v>
      </c>
      <c r="G152">
        <v>65.363</v>
      </c>
      <c r="H152">
        <v>34.637</v>
      </c>
      <c r="I152">
        <v>105</v>
      </c>
      <c r="J152">
        <v>100</v>
      </c>
      <c r="K152">
        <v>100</v>
      </c>
      <c r="L152">
        <v>100</v>
      </c>
      <c r="M152">
        <v>780466.594407</v>
      </c>
      <c r="N152">
        <v>95902.552188000001</v>
      </c>
      <c r="O152">
        <v>683247.18533899996</v>
      </c>
      <c r="P152">
        <v>1316.85688</v>
      </c>
      <c r="Q152">
        <v>279.38695200000001</v>
      </c>
      <c r="R152">
        <v>5000</v>
      </c>
      <c r="S152">
        <v>0.40607504350489798</v>
      </c>
    </row>
    <row r="153" spans="1:19" x14ac:dyDescent="0.2">
      <c r="A153" s="16" t="s">
        <v>9</v>
      </c>
      <c r="B153">
        <v>4</v>
      </c>
      <c r="C153">
        <v>1.6086501E-2</v>
      </c>
      <c r="D153">
        <v>104717</v>
      </c>
      <c r="E153">
        <v>92.058599999999998</v>
      </c>
      <c r="F153">
        <v>37.551699999999997</v>
      </c>
      <c r="G153">
        <v>65.490899999999996</v>
      </c>
      <c r="H153">
        <v>34.509099999999997</v>
      </c>
      <c r="I153">
        <v>105</v>
      </c>
      <c r="J153">
        <v>100</v>
      </c>
      <c r="K153">
        <v>100</v>
      </c>
      <c r="L153">
        <v>100</v>
      </c>
      <c r="M153">
        <v>779318.33964300004</v>
      </c>
      <c r="N153">
        <v>95902.552188000001</v>
      </c>
      <c r="O153">
        <v>682100.11169499997</v>
      </c>
      <c r="P153">
        <v>1315.6757600000001</v>
      </c>
      <c r="Q153">
        <v>278.70949100000001</v>
      </c>
      <c r="R153">
        <v>5000</v>
      </c>
      <c r="S153">
        <v>0.40791083071000422</v>
      </c>
    </row>
    <row r="154" spans="1:19" x14ac:dyDescent="0.2">
      <c r="A154" s="16" t="s">
        <v>9</v>
      </c>
      <c r="B154">
        <v>4</v>
      </c>
      <c r="C154">
        <v>1.6435357000000001E-2</v>
      </c>
      <c r="D154">
        <v>104717</v>
      </c>
      <c r="E154">
        <v>92.058599999999998</v>
      </c>
      <c r="F154">
        <v>37.44</v>
      </c>
      <c r="G154">
        <v>65.278300000000002</v>
      </c>
      <c r="H154">
        <v>34.721699999999998</v>
      </c>
      <c r="I154">
        <v>105</v>
      </c>
      <c r="J154">
        <v>100</v>
      </c>
      <c r="K154">
        <v>100</v>
      </c>
      <c r="L154">
        <v>100</v>
      </c>
      <c r="M154">
        <v>780073.34955200006</v>
      </c>
      <c r="N154">
        <v>95902.552188000001</v>
      </c>
      <c r="O154">
        <v>682854.09534400003</v>
      </c>
      <c r="P154">
        <v>1316.7020199999999</v>
      </c>
      <c r="Q154">
        <v>279.49867899999998</v>
      </c>
      <c r="R154">
        <v>5000</v>
      </c>
      <c r="S154">
        <v>0.40669747313124466</v>
      </c>
    </row>
    <row r="155" spans="1:19" x14ac:dyDescent="0.2">
      <c r="A155" s="16" t="s">
        <v>9</v>
      </c>
      <c r="B155">
        <v>4</v>
      </c>
      <c r="C155">
        <v>1.6254900999999999E-2</v>
      </c>
      <c r="D155">
        <v>104717</v>
      </c>
      <c r="E155">
        <v>92.058599999999998</v>
      </c>
      <c r="F155">
        <v>37.651000000000003</v>
      </c>
      <c r="G155">
        <v>65.302999999999997</v>
      </c>
      <c r="H155">
        <v>34.697000000000003</v>
      </c>
      <c r="I155">
        <v>105</v>
      </c>
      <c r="J155">
        <v>100</v>
      </c>
      <c r="K155">
        <v>100</v>
      </c>
      <c r="L155">
        <v>100</v>
      </c>
      <c r="M155">
        <v>777982.12495800003</v>
      </c>
      <c r="N155">
        <v>95902.552188000001</v>
      </c>
      <c r="O155">
        <v>680763.81483000005</v>
      </c>
      <c r="P155">
        <v>1315.75794</v>
      </c>
      <c r="Q155">
        <v>279.69715400000001</v>
      </c>
      <c r="R155">
        <v>5000</v>
      </c>
      <c r="S155">
        <v>0.4089894914760816</v>
      </c>
    </row>
    <row r="156" spans="1:19" x14ac:dyDescent="0.2">
      <c r="A156" s="16" t="s">
        <v>9</v>
      </c>
      <c r="B156">
        <v>4</v>
      </c>
      <c r="C156">
        <v>1.6712986999999999E-2</v>
      </c>
      <c r="D156">
        <v>104717</v>
      </c>
      <c r="E156">
        <v>92.058599999999998</v>
      </c>
      <c r="F156">
        <v>37.505800000000001</v>
      </c>
      <c r="G156">
        <v>65.405500000000004</v>
      </c>
      <c r="H156">
        <v>34.594499999999996</v>
      </c>
      <c r="I156">
        <v>105</v>
      </c>
      <c r="J156">
        <v>100</v>
      </c>
      <c r="K156">
        <v>100</v>
      </c>
      <c r="L156">
        <v>100</v>
      </c>
      <c r="M156">
        <v>780308.89423199999</v>
      </c>
      <c r="N156">
        <v>95902.552188000001</v>
      </c>
      <c r="O156">
        <v>683090.00852399995</v>
      </c>
      <c r="P156">
        <v>1316.3335199999999</v>
      </c>
      <c r="Q156">
        <v>279.65936299999998</v>
      </c>
      <c r="R156">
        <v>5000</v>
      </c>
      <c r="S156">
        <v>0.40741223525015591</v>
      </c>
    </row>
    <row r="157" spans="1:19" x14ac:dyDescent="0.2">
      <c r="A157" s="16" t="s">
        <v>9</v>
      </c>
      <c r="B157">
        <v>4</v>
      </c>
      <c r="C157">
        <v>1.6367511000000001E-2</v>
      </c>
      <c r="D157">
        <v>104717</v>
      </c>
      <c r="E157">
        <v>92.058599999999998</v>
      </c>
      <c r="F157">
        <v>37.411299999999997</v>
      </c>
      <c r="G157">
        <v>65.596299999999999</v>
      </c>
      <c r="H157">
        <v>34.403700000000001</v>
      </c>
      <c r="I157">
        <v>105</v>
      </c>
      <c r="J157">
        <v>100</v>
      </c>
      <c r="K157">
        <v>100</v>
      </c>
      <c r="L157">
        <v>100</v>
      </c>
      <c r="M157">
        <v>779672.94033500005</v>
      </c>
      <c r="N157">
        <v>95902.552188000001</v>
      </c>
      <c r="O157">
        <v>682455.69103700004</v>
      </c>
      <c r="P157">
        <v>1314.6971100000001</v>
      </c>
      <c r="Q157">
        <v>278.45316600000001</v>
      </c>
      <c r="R157">
        <v>5000</v>
      </c>
      <c r="S157">
        <v>0.40638571518576211</v>
      </c>
    </row>
    <row r="158" spans="1:19" x14ac:dyDescent="0.2">
      <c r="A158" s="16" t="s">
        <v>9</v>
      </c>
      <c r="B158">
        <v>4</v>
      </c>
      <c r="C158">
        <v>1.6855035000000001E-2</v>
      </c>
      <c r="D158">
        <v>104717</v>
      </c>
      <c r="E158">
        <v>92.058599999999998</v>
      </c>
      <c r="F158">
        <v>37.407499999999999</v>
      </c>
      <c r="G158">
        <v>65.393600000000006</v>
      </c>
      <c r="H158">
        <v>34.606400000000001</v>
      </c>
      <c r="I158">
        <v>105</v>
      </c>
      <c r="J158">
        <v>100</v>
      </c>
      <c r="K158">
        <v>100</v>
      </c>
      <c r="L158">
        <v>100</v>
      </c>
      <c r="M158">
        <v>781316.088995</v>
      </c>
      <c r="N158">
        <v>95902.552188000001</v>
      </c>
      <c r="O158">
        <v>684098.42763699999</v>
      </c>
      <c r="P158">
        <v>1315.1091699999999</v>
      </c>
      <c r="Q158">
        <v>279.22343799999999</v>
      </c>
      <c r="R158">
        <v>5000</v>
      </c>
      <c r="S158">
        <v>0.40634443713026269</v>
      </c>
    </row>
    <row r="159" spans="1:19" x14ac:dyDescent="0.2">
      <c r="A159" s="16" t="s">
        <v>9</v>
      </c>
      <c r="B159">
        <v>4</v>
      </c>
      <c r="C159">
        <v>1.6371213999999999E-2</v>
      </c>
      <c r="D159">
        <v>104717</v>
      </c>
      <c r="E159">
        <v>92.058599999999998</v>
      </c>
      <c r="F159">
        <v>37.490600000000001</v>
      </c>
      <c r="G159">
        <v>65.498400000000004</v>
      </c>
      <c r="H159">
        <v>34.501600000000003</v>
      </c>
      <c r="I159">
        <v>105</v>
      </c>
      <c r="J159">
        <v>100</v>
      </c>
      <c r="K159">
        <v>100</v>
      </c>
      <c r="L159">
        <v>100</v>
      </c>
      <c r="M159">
        <v>779811.01895299996</v>
      </c>
      <c r="N159">
        <v>95902.552188000001</v>
      </c>
      <c r="O159">
        <v>682591.24958499998</v>
      </c>
      <c r="P159">
        <v>1317.2171800000001</v>
      </c>
      <c r="Q159">
        <v>278.976316</v>
      </c>
      <c r="R159">
        <v>5000</v>
      </c>
      <c r="S159">
        <v>0.40724712302815819</v>
      </c>
    </row>
    <row r="160" spans="1:19" x14ac:dyDescent="0.2">
      <c r="A160" s="16" t="s">
        <v>9</v>
      </c>
      <c r="B160">
        <v>4</v>
      </c>
      <c r="C160">
        <v>1.6725625000000001E-2</v>
      </c>
      <c r="D160">
        <v>104717</v>
      </c>
      <c r="E160">
        <v>92.058599999999998</v>
      </c>
      <c r="F160">
        <v>37.406500000000001</v>
      </c>
      <c r="G160">
        <v>65.4285</v>
      </c>
      <c r="H160">
        <v>34.5715</v>
      </c>
      <c r="I160">
        <v>105</v>
      </c>
      <c r="J160">
        <v>100</v>
      </c>
      <c r="K160">
        <v>100</v>
      </c>
      <c r="L160">
        <v>100</v>
      </c>
      <c r="M160">
        <v>780204.78535999998</v>
      </c>
      <c r="N160">
        <v>95902.552188000001</v>
      </c>
      <c r="O160">
        <v>682986.19887199998</v>
      </c>
      <c r="P160">
        <v>1316.0343</v>
      </c>
      <c r="Q160">
        <v>279.16635000000002</v>
      </c>
      <c r="R160">
        <v>5000</v>
      </c>
      <c r="S160">
        <v>0.40633357448407864</v>
      </c>
    </row>
    <row r="161" spans="1:19" x14ac:dyDescent="0.2">
      <c r="A161" s="16" t="s">
        <v>9</v>
      </c>
      <c r="B161">
        <v>4</v>
      </c>
      <c r="C161">
        <v>1.7025050999999999E-2</v>
      </c>
      <c r="D161">
        <v>104717</v>
      </c>
      <c r="E161">
        <v>92.058599999999998</v>
      </c>
      <c r="F161">
        <v>37.267099999999999</v>
      </c>
      <c r="G161">
        <v>65.6374</v>
      </c>
      <c r="H161">
        <v>34.3626</v>
      </c>
      <c r="I161">
        <v>105</v>
      </c>
      <c r="J161">
        <v>100</v>
      </c>
      <c r="K161">
        <v>100</v>
      </c>
      <c r="L161">
        <v>100</v>
      </c>
      <c r="M161">
        <v>781594.51711799996</v>
      </c>
      <c r="N161">
        <v>95902.552188000001</v>
      </c>
      <c r="O161">
        <v>684376.85054000001</v>
      </c>
      <c r="P161">
        <v>1315.11439</v>
      </c>
      <c r="Q161">
        <v>278.45790499999998</v>
      </c>
      <c r="R161">
        <v>5000</v>
      </c>
      <c r="S161">
        <v>0.40481932160602052</v>
      </c>
    </row>
    <row r="162" spans="1:19" x14ac:dyDescent="0.2">
      <c r="A162" s="16" t="s">
        <v>9</v>
      </c>
      <c r="B162">
        <v>4</v>
      </c>
      <c r="C162">
        <v>1.6384668000000002E-2</v>
      </c>
      <c r="D162">
        <v>104717</v>
      </c>
      <c r="E162">
        <v>92.058599999999998</v>
      </c>
      <c r="F162">
        <v>37.512500000000003</v>
      </c>
      <c r="G162">
        <v>65.6357</v>
      </c>
      <c r="H162">
        <v>34.3643</v>
      </c>
      <c r="I162">
        <v>105</v>
      </c>
      <c r="J162">
        <v>100</v>
      </c>
      <c r="K162">
        <v>100</v>
      </c>
      <c r="L162">
        <v>100</v>
      </c>
      <c r="M162">
        <v>778364.65056099999</v>
      </c>
      <c r="N162">
        <v>95902.552188000001</v>
      </c>
      <c r="O162">
        <v>681143.50906299998</v>
      </c>
      <c r="P162">
        <v>1318.5893100000001</v>
      </c>
      <c r="Q162">
        <v>278.93358999999998</v>
      </c>
      <c r="R162">
        <v>5000</v>
      </c>
      <c r="S162">
        <v>0.40748501497958911</v>
      </c>
    </row>
    <row r="163" spans="1:19" x14ac:dyDescent="0.2">
      <c r="A163" s="16" t="s">
        <v>9</v>
      </c>
      <c r="B163">
        <v>4</v>
      </c>
      <c r="C163">
        <v>1.6117210999999999E-2</v>
      </c>
      <c r="D163">
        <v>104717</v>
      </c>
      <c r="E163">
        <v>92.058599999999998</v>
      </c>
      <c r="F163">
        <v>37.501100000000001</v>
      </c>
      <c r="G163">
        <v>65.500399999999999</v>
      </c>
      <c r="H163">
        <v>34.499600000000001</v>
      </c>
      <c r="I163">
        <v>105</v>
      </c>
      <c r="J163">
        <v>100</v>
      </c>
      <c r="K163">
        <v>100</v>
      </c>
      <c r="L163">
        <v>100</v>
      </c>
      <c r="M163">
        <v>779480.25406199996</v>
      </c>
      <c r="N163">
        <v>95902.552188000001</v>
      </c>
      <c r="O163">
        <v>682261.68520399998</v>
      </c>
      <c r="P163">
        <v>1316.01667</v>
      </c>
      <c r="Q163">
        <v>279.30979400000001</v>
      </c>
      <c r="R163">
        <v>5000</v>
      </c>
      <c r="S163">
        <v>0.40736118081309081</v>
      </c>
    </row>
    <row r="164" spans="1:19" x14ac:dyDescent="0.2">
      <c r="A164" s="16" t="s">
        <v>9</v>
      </c>
      <c r="B164">
        <v>4</v>
      </c>
      <c r="C164">
        <v>1.6442763999999999E-2</v>
      </c>
      <c r="D164">
        <v>104717</v>
      </c>
      <c r="E164">
        <v>92.058599999999998</v>
      </c>
      <c r="F164">
        <v>37.660600000000002</v>
      </c>
      <c r="G164">
        <v>65.463899999999995</v>
      </c>
      <c r="H164">
        <v>34.536099999999998</v>
      </c>
      <c r="I164">
        <v>105</v>
      </c>
      <c r="J164">
        <v>100</v>
      </c>
      <c r="K164">
        <v>100</v>
      </c>
      <c r="L164">
        <v>100</v>
      </c>
      <c r="M164">
        <v>777680.41736600001</v>
      </c>
      <c r="N164">
        <v>95902.552188000001</v>
      </c>
      <c r="O164">
        <v>680461.38267800002</v>
      </c>
      <c r="P164">
        <v>1316.4825000000001</v>
      </c>
      <c r="Q164">
        <v>279.46118100000001</v>
      </c>
      <c r="R164">
        <v>5000</v>
      </c>
      <c r="S164">
        <v>0.40909377287944854</v>
      </c>
    </row>
    <row r="165" spans="1:19" x14ac:dyDescent="0.2">
      <c r="A165" s="16" t="s">
        <v>9</v>
      </c>
      <c r="B165">
        <v>4</v>
      </c>
      <c r="C165">
        <v>1.6605767E-2</v>
      </c>
      <c r="D165">
        <v>104717</v>
      </c>
      <c r="E165">
        <v>92.058599999999998</v>
      </c>
      <c r="F165">
        <v>37.477200000000003</v>
      </c>
      <c r="G165">
        <v>65.221000000000004</v>
      </c>
      <c r="H165">
        <v>34.779000000000003</v>
      </c>
      <c r="I165">
        <v>105</v>
      </c>
      <c r="J165">
        <v>100</v>
      </c>
      <c r="K165">
        <v>100</v>
      </c>
      <c r="L165">
        <v>100</v>
      </c>
      <c r="M165">
        <v>780337.69454900001</v>
      </c>
      <c r="N165">
        <v>95902.552188000001</v>
      </c>
      <c r="O165">
        <v>683119.35232099995</v>
      </c>
      <c r="P165">
        <v>1315.7900400000001</v>
      </c>
      <c r="Q165">
        <v>280.113606</v>
      </c>
      <c r="R165">
        <v>5000</v>
      </c>
      <c r="S165">
        <v>0.40710156356929178</v>
      </c>
    </row>
    <row r="166" spans="1:19" x14ac:dyDescent="0.2">
      <c r="A166" s="16" t="s">
        <v>9</v>
      </c>
      <c r="B166">
        <v>4</v>
      </c>
      <c r="C166">
        <v>1.6274882000000001E-2</v>
      </c>
      <c r="D166">
        <v>104717</v>
      </c>
      <c r="E166">
        <v>92.058599999999998</v>
      </c>
      <c r="F166">
        <v>37.493400000000001</v>
      </c>
      <c r="G166">
        <v>65.340500000000006</v>
      </c>
      <c r="H166">
        <v>34.659500000000001</v>
      </c>
      <c r="I166">
        <v>105</v>
      </c>
      <c r="J166">
        <v>100</v>
      </c>
      <c r="K166">
        <v>100</v>
      </c>
      <c r="L166">
        <v>100</v>
      </c>
      <c r="M166">
        <v>778757.99363000004</v>
      </c>
      <c r="N166">
        <v>95902.552188000001</v>
      </c>
      <c r="O166">
        <v>681540.46852200001</v>
      </c>
      <c r="P166">
        <v>1314.9729199999999</v>
      </c>
      <c r="Q166">
        <v>279.77838200000002</v>
      </c>
      <c r="R166">
        <v>5000</v>
      </c>
      <c r="S166">
        <v>0.40727753843747355</v>
      </c>
    </row>
    <row r="167" spans="1:19" x14ac:dyDescent="0.2">
      <c r="A167" s="16" t="s">
        <v>9</v>
      </c>
      <c r="B167">
        <v>4</v>
      </c>
      <c r="C167">
        <v>1.6612332E-2</v>
      </c>
      <c r="D167">
        <v>104717</v>
      </c>
      <c r="E167">
        <v>92.058599999999998</v>
      </c>
      <c r="F167">
        <v>37.535499999999999</v>
      </c>
      <c r="G167">
        <v>65.417500000000004</v>
      </c>
      <c r="H167">
        <v>34.582500000000003</v>
      </c>
      <c r="I167">
        <v>105</v>
      </c>
      <c r="J167">
        <v>100</v>
      </c>
      <c r="K167">
        <v>100</v>
      </c>
      <c r="L167">
        <v>100</v>
      </c>
      <c r="M167">
        <v>779864.88190599997</v>
      </c>
      <c r="N167">
        <v>95902.552188000001</v>
      </c>
      <c r="O167">
        <v>682646.96316799999</v>
      </c>
      <c r="P167">
        <v>1315.36655</v>
      </c>
      <c r="Q167">
        <v>279.09700900000001</v>
      </c>
      <c r="R167">
        <v>5000</v>
      </c>
      <c r="S167">
        <v>0.40773485584182251</v>
      </c>
    </row>
    <row r="168" spans="1:19" x14ac:dyDescent="0.2">
      <c r="A168" s="16" t="s">
        <v>9</v>
      </c>
      <c r="B168">
        <v>4</v>
      </c>
      <c r="C168">
        <v>1.6558214000000002E-2</v>
      </c>
      <c r="D168">
        <v>104717</v>
      </c>
      <c r="E168">
        <v>92.058599999999998</v>
      </c>
      <c r="F168">
        <v>37.485799999999998</v>
      </c>
      <c r="G168">
        <v>65.448099999999997</v>
      </c>
      <c r="H168">
        <v>34.551900000000003</v>
      </c>
      <c r="I168">
        <v>105</v>
      </c>
      <c r="J168">
        <v>100</v>
      </c>
      <c r="K168">
        <v>100</v>
      </c>
      <c r="L168">
        <v>100</v>
      </c>
      <c r="M168">
        <v>778985.43055599998</v>
      </c>
      <c r="N168">
        <v>95902.552188000001</v>
      </c>
      <c r="O168">
        <v>681767.11999799998</v>
      </c>
      <c r="P168">
        <v>1315.75837</v>
      </c>
      <c r="Q168">
        <v>279.21651600000001</v>
      </c>
      <c r="R168">
        <v>5000</v>
      </c>
      <c r="S168">
        <v>0.40719498232647466</v>
      </c>
    </row>
    <row r="169" spans="1:19" x14ac:dyDescent="0.2">
      <c r="A169" s="16" t="s">
        <v>9</v>
      </c>
      <c r="B169">
        <v>4</v>
      </c>
      <c r="C169">
        <v>1.6905123000000001E-2</v>
      </c>
      <c r="D169">
        <v>104717</v>
      </c>
      <c r="E169">
        <v>92.058599999999998</v>
      </c>
      <c r="F169">
        <v>37.426600000000001</v>
      </c>
      <c r="G169">
        <v>65.3934</v>
      </c>
      <c r="H169">
        <v>34.6066</v>
      </c>
      <c r="I169">
        <v>105</v>
      </c>
      <c r="J169">
        <v>100</v>
      </c>
      <c r="K169">
        <v>100</v>
      </c>
      <c r="L169">
        <v>100</v>
      </c>
      <c r="M169">
        <v>779658.98192399996</v>
      </c>
      <c r="N169">
        <v>95902.552188000001</v>
      </c>
      <c r="O169">
        <v>682441.92873599997</v>
      </c>
      <c r="P169">
        <v>1314.501</v>
      </c>
      <c r="Q169">
        <v>279.24678899999998</v>
      </c>
      <c r="R169">
        <v>5000</v>
      </c>
      <c r="S169">
        <v>0.40655191367237825</v>
      </c>
    </row>
    <row r="170" spans="1:19" x14ac:dyDescent="0.2">
      <c r="A170" s="16" t="s">
        <v>9</v>
      </c>
      <c r="B170">
        <v>4</v>
      </c>
      <c r="C170">
        <v>1.6520300000000002E-2</v>
      </c>
      <c r="D170">
        <v>104717</v>
      </c>
      <c r="E170">
        <v>92.058599999999998</v>
      </c>
      <c r="F170">
        <v>37.386499999999998</v>
      </c>
      <c r="G170">
        <v>65.486599999999996</v>
      </c>
      <c r="H170">
        <v>34.513399999999997</v>
      </c>
      <c r="I170">
        <v>105</v>
      </c>
      <c r="J170">
        <v>100</v>
      </c>
      <c r="K170">
        <v>100</v>
      </c>
      <c r="L170">
        <v>100</v>
      </c>
      <c r="M170">
        <v>780253.60713999998</v>
      </c>
      <c r="N170">
        <v>95902.552188000001</v>
      </c>
      <c r="O170">
        <v>683035.28099200001</v>
      </c>
      <c r="P170">
        <v>1315.77396</v>
      </c>
      <c r="Q170">
        <v>278.93793599999998</v>
      </c>
      <c r="R170">
        <v>5000</v>
      </c>
      <c r="S170">
        <v>0.4061163215603974</v>
      </c>
    </row>
    <row r="171" spans="1:19" x14ac:dyDescent="0.2">
      <c r="A171" s="16" t="s">
        <v>9</v>
      </c>
      <c r="B171">
        <v>4</v>
      </c>
      <c r="C171">
        <v>1.6332370999999998E-2</v>
      </c>
      <c r="D171">
        <v>104717</v>
      </c>
      <c r="E171">
        <v>92.058599999999998</v>
      </c>
      <c r="F171">
        <v>37.432299999999998</v>
      </c>
      <c r="G171">
        <v>65.388499999999993</v>
      </c>
      <c r="H171">
        <v>34.611499999999999</v>
      </c>
      <c r="I171">
        <v>105</v>
      </c>
      <c r="J171">
        <v>100</v>
      </c>
      <c r="K171">
        <v>100</v>
      </c>
      <c r="L171">
        <v>100</v>
      </c>
      <c r="M171">
        <v>780586.07213999995</v>
      </c>
      <c r="N171">
        <v>95902.552188000001</v>
      </c>
      <c r="O171">
        <v>683368.64442200004</v>
      </c>
      <c r="P171">
        <v>1314.87553</v>
      </c>
      <c r="Q171">
        <v>279.437074</v>
      </c>
      <c r="R171">
        <v>5000</v>
      </c>
      <c r="S171">
        <v>0.4066138307556274</v>
      </c>
    </row>
    <row r="172" spans="1:19" x14ac:dyDescent="0.2">
      <c r="A172" s="16" t="s">
        <v>9</v>
      </c>
      <c r="B172">
        <v>4</v>
      </c>
      <c r="C172">
        <v>1.6597544999999998E-2</v>
      </c>
      <c r="D172">
        <v>104717</v>
      </c>
      <c r="E172">
        <v>92.058599999999998</v>
      </c>
      <c r="F172">
        <v>37.6357</v>
      </c>
      <c r="G172">
        <v>65.380200000000002</v>
      </c>
      <c r="H172">
        <v>34.619799999999998</v>
      </c>
      <c r="I172">
        <v>105</v>
      </c>
      <c r="J172">
        <v>100</v>
      </c>
      <c r="K172">
        <v>100</v>
      </c>
      <c r="L172">
        <v>100</v>
      </c>
      <c r="M172">
        <v>777305.05206599995</v>
      </c>
      <c r="N172">
        <v>95902.552188000001</v>
      </c>
      <c r="O172">
        <v>680086.38846799999</v>
      </c>
      <c r="P172">
        <v>1316.11141</v>
      </c>
      <c r="Q172">
        <v>279.29745000000003</v>
      </c>
      <c r="R172">
        <v>5000</v>
      </c>
      <c r="S172">
        <v>0.4088232929894654</v>
      </c>
    </row>
    <row r="173" spans="1:19" x14ac:dyDescent="0.2">
      <c r="A173" s="16" t="s">
        <v>9</v>
      </c>
      <c r="B173">
        <v>4</v>
      </c>
      <c r="C173">
        <v>1.7412523999999999E-2</v>
      </c>
      <c r="D173">
        <v>104717</v>
      </c>
      <c r="E173">
        <v>92.058599999999998</v>
      </c>
      <c r="F173">
        <v>37.567900000000002</v>
      </c>
      <c r="G173">
        <v>65.383799999999994</v>
      </c>
      <c r="H173">
        <v>34.616199999999999</v>
      </c>
      <c r="I173">
        <v>105</v>
      </c>
      <c r="J173">
        <v>100</v>
      </c>
      <c r="K173">
        <v>100</v>
      </c>
      <c r="L173">
        <v>100</v>
      </c>
      <c r="M173">
        <v>777994.93474599998</v>
      </c>
      <c r="N173">
        <v>95902.552188000001</v>
      </c>
      <c r="O173">
        <v>680777.23562799999</v>
      </c>
      <c r="P173">
        <v>1315.1469300000001</v>
      </c>
      <c r="Q173">
        <v>279.44170200000002</v>
      </c>
      <c r="R173">
        <v>5000</v>
      </c>
      <c r="S173">
        <v>0.40808680557818611</v>
      </c>
    </row>
    <row r="174" spans="1:19" x14ac:dyDescent="0.2">
      <c r="A174" s="16" t="s">
        <v>9</v>
      </c>
      <c r="B174">
        <v>4</v>
      </c>
      <c r="C174">
        <v>1.6725516999999999E-2</v>
      </c>
      <c r="D174">
        <v>104717</v>
      </c>
      <c r="E174">
        <v>92.058599999999998</v>
      </c>
      <c r="F174">
        <v>37.433300000000003</v>
      </c>
      <c r="G174">
        <v>65.744</v>
      </c>
      <c r="H174">
        <v>34.256</v>
      </c>
      <c r="I174">
        <v>105</v>
      </c>
      <c r="J174">
        <v>100</v>
      </c>
      <c r="K174">
        <v>100</v>
      </c>
      <c r="L174">
        <v>100</v>
      </c>
      <c r="M174">
        <v>779483.321964</v>
      </c>
      <c r="N174">
        <v>95902.552188000001</v>
      </c>
      <c r="O174">
        <v>682263.68357600004</v>
      </c>
      <c r="P174">
        <v>1317.0862</v>
      </c>
      <c r="Q174">
        <v>278.40715799999998</v>
      </c>
      <c r="R174">
        <v>5000</v>
      </c>
      <c r="S174">
        <v>0.40662469340181151</v>
      </c>
    </row>
    <row r="175" spans="1:19" x14ac:dyDescent="0.2">
      <c r="A175" s="16" t="s">
        <v>9</v>
      </c>
      <c r="B175">
        <v>4</v>
      </c>
      <c r="C175">
        <v>1.6831664999999999E-2</v>
      </c>
      <c r="D175">
        <v>104717</v>
      </c>
      <c r="E175">
        <v>92.058599999999998</v>
      </c>
      <c r="F175">
        <v>37.490600000000001</v>
      </c>
      <c r="G175">
        <v>65.447400000000002</v>
      </c>
      <c r="H175">
        <v>34.552599999999998</v>
      </c>
      <c r="I175">
        <v>105</v>
      </c>
      <c r="J175">
        <v>100</v>
      </c>
      <c r="K175">
        <v>100</v>
      </c>
      <c r="L175">
        <v>100</v>
      </c>
      <c r="M175">
        <v>779071.24317999999</v>
      </c>
      <c r="N175">
        <v>95902.552188000001</v>
      </c>
      <c r="O175">
        <v>681852.92190199997</v>
      </c>
      <c r="P175">
        <v>1315.76909</v>
      </c>
      <c r="Q175">
        <v>278.96343000000002</v>
      </c>
      <c r="R175">
        <v>5000</v>
      </c>
      <c r="S175">
        <v>0.40724712302815819</v>
      </c>
    </row>
    <row r="176" spans="1:19" x14ac:dyDescent="0.2">
      <c r="A176" s="16" t="s">
        <v>9</v>
      </c>
      <c r="B176">
        <v>4</v>
      </c>
      <c r="C176">
        <v>1.6461573E-2</v>
      </c>
      <c r="D176">
        <v>104717</v>
      </c>
      <c r="E176">
        <v>92.058599999999998</v>
      </c>
      <c r="F176">
        <v>37.500100000000003</v>
      </c>
      <c r="G176">
        <v>65.733800000000002</v>
      </c>
      <c r="H176">
        <v>34.266199999999998</v>
      </c>
      <c r="I176">
        <v>105</v>
      </c>
      <c r="J176">
        <v>100</v>
      </c>
      <c r="K176">
        <v>100</v>
      </c>
      <c r="L176">
        <v>100</v>
      </c>
      <c r="M176">
        <v>778784.62607200001</v>
      </c>
      <c r="N176">
        <v>95902.552188000001</v>
      </c>
      <c r="O176">
        <v>681567.20759400004</v>
      </c>
      <c r="P176">
        <v>1314.8662899999999</v>
      </c>
      <c r="Q176">
        <v>278.59213</v>
      </c>
      <c r="R176">
        <v>5000</v>
      </c>
      <c r="S176">
        <v>0.40735031816690676</v>
      </c>
    </row>
    <row r="177" spans="1:19" x14ac:dyDescent="0.2">
      <c r="A177" s="16" t="s">
        <v>9</v>
      </c>
      <c r="B177">
        <v>4</v>
      </c>
      <c r="C177">
        <v>1.6304649000000001E-2</v>
      </c>
      <c r="D177">
        <v>104717</v>
      </c>
      <c r="E177">
        <v>92.058599999999998</v>
      </c>
      <c r="F177">
        <v>37.470500000000001</v>
      </c>
      <c r="G177">
        <v>65.380499999999998</v>
      </c>
      <c r="H177">
        <v>34.619500000000002</v>
      </c>
      <c r="I177">
        <v>105</v>
      </c>
      <c r="J177">
        <v>100</v>
      </c>
      <c r="K177">
        <v>100</v>
      </c>
      <c r="L177">
        <v>100</v>
      </c>
      <c r="M177">
        <v>779391.23729800002</v>
      </c>
      <c r="N177">
        <v>95902.552188000001</v>
      </c>
      <c r="O177">
        <v>682172.85887</v>
      </c>
      <c r="P177">
        <v>1315.8262400000001</v>
      </c>
      <c r="Q177">
        <v>279.18453099999999</v>
      </c>
      <c r="R177">
        <v>5000</v>
      </c>
      <c r="S177">
        <v>0.40702878383985852</v>
      </c>
    </row>
    <row r="178" spans="1:19" x14ac:dyDescent="0.2">
      <c r="A178" s="16" t="s">
        <v>9</v>
      </c>
      <c r="B178">
        <v>4</v>
      </c>
      <c r="C178">
        <v>1.6781691000000001E-2</v>
      </c>
      <c r="D178">
        <v>104717</v>
      </c>
      <c r="E178">
        <v>92.058599999999998</v>
      </c>
      <c r="F178">
        <v>37.489600000000003</v>
      </c>
      <c r="G178">
        <v>65.563699999999997</v>
      </c>
      <c r="H178">
        <v>34.436300000000003</v>
      </c>
      <c r="I178">
        <v>105</v>
      </c>
      <c r="J178">
        <v>100</v>
      </c>
      <c r="K178">
        <v>100</v>
      </c>
      <c r="L178">
        <v>100</v>
      </c>
      <c r="M178">
        <v>779468.83600400004</v>
      </c>
      <c r="N178">
        <v>95902.552188000001</v>
      </c>
      <c r="O178">
        <v>682249.60287599999</v>
      </c>
      <c r="P178">
        <v>1316.68094</v>
      </c>
      <c r="Q178">
        <v>278.86702700000001</v>
      </c>
      <c r="R178">
        <v>5000</v>
      </c>
      <c r="S178">
        <v>0.40723626038197414</v>
      </c>
    </row>
    <row r="179" spans="1:19" x14ac:dyDescent="0.2">
      <c r="A179" s="16" t="s">
        <v>9</v>
      </c>
      <c r="B179">
        <v>4</v>
      </c>
      <c r="C179">
        <v>1.6777648999999999E-2</v>
      </c>
      <c r="D179">
        <v>104717</v>
      </c>
      <c r="E179">
        <v>92.058599999999998</v>
      </c>
      <c r="F179">
        <v>37.394100000000002</v>
      </c>
      <c r="G179">
        <v>65.309799999999996</v>
      </c>
      <c r="H179">
        <v>34.690199999999997</v>
      </c>
      <c r="I179">
        <v>105</v>
      </c>
      <c r="J179">
        <v>100</v>
      </c>
      <c r="K179">
        <v>100</v>
      </c>
      <c r="L179">
        <v>100</v>
      </c>
      <c r="M179">
        <v>780296.15965399996</v>
      </c>
      <c r="N179">
        <v>95902.552188000001</v>
      </c>
      <c r="O179">
        <v>683077.75727599999</v>
      </c>
      <c r="P179">
        <v>1315.8501900000001</v>
      </c>
      <c r="Q179">
        <v>279.47345300000001</v>
      </c>
      <c r="R179">
        <v>5000</v>
      </c>
      <c r="S179">
        <v>0.40619887767139629</v>
      </c>
    </row>
    <row r="180" spans="1:19" x14ac:dyDescent="0.2">
      <c r="A180" s="16" t="s">
        <v>9</v>
      </c>
      <c r="B180">
        <v>4</v>
      </c>
      <c r="C180">
        <v>1.6340929000000001E-2</v>
      </c>
      <c r="D180">
        <v>104717</v>
      </c>
      <c r="E180">
        <v>92.058599999999998</v>
      </c>
      <c r="F180">
        <v>37.435200000000002</v>
      </c>
      <c r="G180">
        <v>65.480500000000006</v>
      </c>
      <c r="H180">
        <v>34.519500000000001</v>
      </c>
      <c r="I180">
        <v>105</v>
      </c>
      <c r="J180">
        <v>100</v>
      </c>
      <c r="K180">
        <v>100</v>
      </c>
      <c r="L180">
        <v>100</v>
      </c>
      <c r="M180">
        <v>780081.48266700003</v>
      </c>
      <c r="N180">
        <v>95902.552188000001</v>
      </c>
      <c r="O180">
        <v>682862.04441900004</v>
      </c>
      <c r="P180">
        <v>1316.88606</v>
      </c>
      <c r="Q180">
        <v>279.06607400000001</v>
      </c>
      <c r="R180">
        <v>5000</v>
      </c>
      <c r="S180">
        <v>0.40664533242956119</v>
      </c>
    </row>
    <row r="181" spans="1:19" x14ac:dyDescent="0.2">
      <c r="A181" s="16" t="s">
        <v>9</v>
      </c>
      <c r="B181">
        <v>4</v>
      </c>
      <c r="C181">
        <v>1.6450287000000001E-2</v>
      </c>
      <c r="D181">
        <v>104717</v>
      </c>
      <c r="E181">
        <v>92.058599999999998</v>
      </c>
      <c r="F181">
        <v>37.5488</v>
      </c>
      <c r="G181">
        <v>65.6892</v>
      </c>
      <c r="H181">
        <v>34.3108</v>
      </c>
      <c r="I181">
        <v>105</v>
      </c>
      <c r="J181">
        <v>100</v>
      </c>
      <c r="K181">
        <v>100</v>
      </c>
      <c r="L181">
        <v>100</v>
      </c>
      <c r="M181">
        <v>778901.61079599999</v>
      </c>
      <c r="N181">
        <v>95902.552188000001</v>
      </c>
      <c r="O181">
        <v>681681.89663800003</v>
      </c>
      <c r="P181">
        <v>1317.1619700000001</v>
      </c>
      <c r="Q181">
        <v>279.16992499999998</v>
      </c>
      <c r="R181">
        <v>5000</v>
      </c>
      <c r="S181">
        <v>0.40787932903607049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5933-911B-4164-ABE2-F6FB1CE1264B}">
  <sheetPr codeName="Planilha3"/>
  <dimension ref="A1:U351"/>
  <sheetViews>
    <sheetView workbookViewId="0">
      <selection activeCell="L1" sqref="L1"/>
    </sheetView>
  </sheetViews>
  <sheetFormatPr defaultRowHeight="12.75" x14ac:dyDescent="0.2"/>
  <cols>
    <col min="1" max="1" width="21.1640625" bestFit="1" customWidth="1"/>
    <col min="2" max="2" width="8.33203125" bestFit="1" customWidth="1"/>
    <col min="3" max="3" width="12.1640625" bestFit="1" customWidth="1"/>
    <col min="4" max="4" width="10.83203125" bestFit="1" customWidth="1"/>
    <col min="5" max="5" width="12.6640625" bestFit="1" customWidth="1"/>
    <col min="6" max="6" width="11.5" bestFit="1" customWidth="1"/>
    <col min="7" max="7" width="14.1640625" bestFit="1" customWidth="1"/>
    <col min="8" max="8" width="14.5" bestFit="1" customWidth="1"/>
    <col min="9" max="9" width="11" bestFit="1" customWidth="1"/>
    <col min="10" max="10" width="9.5" bestFit="1" customWidth="1"/>
    <col min="11" max="11" width="12.1640625" bestFit="1" customWidth="1"/>
    <col min="12" max="12" width="12.5" bestFit="1" customWidth="1"/>
    <col min="13" max="13" width="12.6640625" bestFit="1" customWidth="1"/>
    <col min="14" max="14" width="18.1640625" bestFit="1" customWidth="1"/>
    <col min="15" max="15" width="16.5" bestFit="1" customWidth="1"/>
    <col min="16" max="16" width="11.1640625" bestFit="1" customWidth="1"/>
    <col min="17" max="17" width="14" bestFit="1" customWidth="1"/>
    <col min="18" max="18" width="13.5" bestFit="1" customWidth="1"/>
    <col min="19" max="19" width="15.6640625" bestFit="1" customWidth="1"/>
    <col min="20" max="20" width="9.1640625" bestFit="1" customWidth="1"/>
    <col min="21" max="21" width="15.33203125" bestFit="1" customWidth="1"/>
  </cols>
  <sheetData>
    <row r="1" spans="1:21" x14ac:dyDescent="0.2">
      <c r="A1" t="s">
        <v>41</v>
      </c>
      <c r="B1" t="s">
        <v>18</v>
      </c>
      <c r="C1" t="s">
        <v>7</v>
      </c>
      <c r="D1" t="s">
        <v>16</v>
      </c>
      <c r="E1" t="s">
        <v>19</v>
      </c>
      <c r="F1" t="s">
        <v>20</v>
      </c>
      <c r="G1" t="s">
        <v>22</v>
      </c>
      <c r="H1" t="s">
        <v>23</v>
      </c>
      <c r="I1" t="s">
        <v>17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42</v>
      </c>
      <c r="S1" t="s">
        <v>35</v>
      </c>
      <c r="T1" t="s">
        <v>36</v>
      </c>
      <c r="U1" t="s">
        <v>21</v>
      </c>
    </row>
    <row r="2" spans="1:21" x14ac:dyDescent="0.2">
      <c r="A2" s="16" t="s">
        <v>10</v>
      </c>
      <c r="B2">
        <v>4</v>
      </c>
      <c r="C2">
        <v>19.207975289</v>
      </c>
      <c r="D2">
        <v>21052</v>
      </c>
      <c r="E2">
        <v>92.095799999999997</v>
      </c>
      <c r="F2">
        <v>52.066299999999998</v>
      </c>
      <c r="G2">
        <v>73.579099999999997</v>
      </c>
      <c r="H2">
        <v>26.4209</v>
      </c>
      <c r="I2">
        <v>105</v>
      </c>
      <c r="J2">
        <v>100</v>
      </c>
      <c r="K2">
        <v>100</v>
      </c>
      <c r="L2">
        <v>100</v>
      </c>
      <c r="M2">
        <v>111428.503063</v>
      </c>
      <c r="N2">
        <v>19407.194696999999</v>
      </c>
      <c r="O2">
        <v>91752.550856000002</v>
      </c>
      <c r="P2">
        <v>268.75751000000002</v>
      </c>
      <c r="Q2">
        <v>266.17500799999999</v>
      </c>
      <c r="R2">
        <v>1000</v>
      </c>
      <c r="S2">
        <v>10</v>
      </c>
      <c r="T2">
        <v>0.99</v>
      </c>
      <c r="U2">
        <v>0.56534934274961512</v>
      </c>
    </row>
    <row r="3" spans="1:21" x14ac:dyDescent="0.2">
      <c r="A3" s="16" t="s">
        <v>10</v>
      </c>
      <c r="B3">
        <v>4</v>
      </c>
      <c r="C3">
        <v>19.895038798000002</v>
      </c>
      <c r="D3">
        <v>21052</v>
      </c>
      <c r="E3">
        <v>92.095799999999997</v>
      </c>
      <c r="F3">
        <v>51.985599999999998</v>
      </c>
      <c r="G3">
        <v>74.040599999999998</v>
      </c>
      <c r="H3">
        <v>25.959399999999999</v>
      </c>
      <c r="I3">
        <v>105</v>
      </c>
      <c r="J3">
        <v>100</v>
      </c>
      <c r="K3">
        <v>100</v>
      </c>
      <c r="L3">
        <v>100</v>
      </c>
      <c r="M3">
        <v>111273.65446600001</v>
      </c>
      <c r="N3">
        <v>19407.194696999999</v>
      </c>
      <c r="O3">
        <v>91598.416018999997</v>
      </c>
      <c r="P3">
        <v>268.04374999999999</v>
      </c>
      <c r="Q3">
        <v>264.73689999999999</v>
      </c>
      <c r="R3">
        <v>1000</v>
      </c>
      <c r="S3">
        <v>10</v>
      </c>
      <c r="T3">
        <v>0.99</v>
      </c>
      <c r="U3">
        <v>0.56447308129143781</v>
      </c>
    </row>
    <row r="4" spans="1:21" x14ac:dyDescent="0.2">
      <c r="A4" s="16" t="s">
        <v>10</v>
      </c>
      <c r="B4">
        <v>4</v>
      </c>
      <c r="C4">
        <v>19.701161883000001</v>
      </c>
      <c r="D4">
        <v>21052</v>
      </c>
      <c r="E4">
        <v>92.095799999999997</v>
      </c>
      <c r="F4">
        <v>52.185099999999998</v>
      </c>
      <c r="G4">
        <v>73.447999999999993</v>
      </c>
      <c r="H4">
        <v>26.552</v>
      </c>
      <c r="I4">
        <v>105</v>
      </c>
      <c r="J4">
        <v>100</v>
      </c>
      <c r="K4">
        <v>100</v>
      </c>
      <c r="L4">
        <v>100</v>
      </c>
      <c r="M4">
        <v>111220.613132</v>
      </c>
      <c r="N4">
        <v>19407.194696999999</v>
      </c>
      <c r="O4">
        <v>91545.266554999995</v>
      </c>
      <c r="P4">
        <v>268.15188000000001</v>
      </c>
      <c r="Q4">
        <v>266.65471300000002</v>
      </c>
      <c r="R4">
        <v>1000</v>
      </c>
      <c r="S4">
        <v>10</v>
      </c>
      <c r="T4">
        <v>0.99</v>
      </c>
      <c r="U4">
        <v>0.56663930385533323</v>
      </c>
    </row>
    <row r="5" spans="1:21" x14ac:dyDescent="0.2">
      <c r="A5" s="16" t="s">
        <v>10</v>
      </c>
      <c r="B5">
        <v>4</v>
      </c>
      <c r="C5">
        <v>19.293230375</v>
      </c>
      <c r="D5">
        <v>21052</v>
      </c>
      <c r="E5">
        <v>92.095799999999997</v>
      </c>
      <c r="F5">
        <v>52.075800000000001</v>
      </c>
      <c r="G5">
        <v>74.003500000000003</v>
      </c>
      <c r="H5">
        <v>25.996500000000001</v>
      </c>
      <c r="I5">
        <v>105</v>
      </c>
      <c r="J5">
        <v>100</v>
      </c>
      <c r="K5">
        <v>100</v>
      </c>
      <c r="L5">
        <v>100</v>
      </c>
      <c r="M5">
        <v>111200.968733</v>
      </c>
      <c r="N5">
        <v>19407.194696999999</v>
      </c>
      <c r="O5">
        <v>91525.216205999997</v>
      </c>
      <c r="P5">
        <v>268.55783000000002</v>
      </c>
      <c r="Q5">
        <v>265.00938400000001</v>
      </c>
      <c r="R5">
        <v>1000</v>
      </c>
      <c r="S5">
        <v>10</v>
      </c>
      <c r="T5">
        <v>0.99</v>
      </c>
      <c r="U5">
        <v>0.56545249620503868</v>
      </c>
    </row>
    <row r="6" spans="1:21" x14ac:dyDescent="0.2">
      <c r="A6" s="16" t="s">
        <v>10</v>
      </c>
      <c r="B6">
        <v>4</v>
      </c>
      <c r="C6">
        <v>19.098541474000001</v>
      </c>
      <c r="D6">
        <v>21052</v>
      </c>
      <c r="E6">
        <v>92.095799999999997</v>
      </c>
      <c r="F6">
        <v>52.308599999999998</v>
      </c>
      <c r="G6">
        <v>74.173599999999993</v>
      </c>
      <c r="H6">
        <v>25.8264</v>
      </c>
      <c r="I6">
        <v>105</v>
      </c>
      <c r="J6">
        <v>100</v>
      </c>
      <c r="K6">
        <v>100</v>
      </c>
      <c r="L6">
        <v>100</v>
      </c>
      <c r="M6">
        <v>110954.971962</v>
      </c>
      <c r="N6">
        <v>19407.194696999999</v>
      </c>
      <c r="O6">
        <v>91279.363425000003</v>
      </c>
      <c r="P6">
        <v>268.41383999999999</v>
      </c>
      <c r="Q6">
        <v>264.19473199999999</v>
      </c>
      <c r="R6">
        <v>1000</v>
      </c>
      <c r="S6">
        <v>10</v>
      </c>
      <c r="T6">
        <v>0.99</v>
      </c>
      <c r="U6">
        <v>0.56798029877583989</v>
      </c>
    </row>
    <row r="7" spans="1:21" x14ac:dyDescent="0.2">
      <c r="A7" s="16" t="s">
        <v>10</v>
      </c>
      <c r="B7">
        <v>4</v>
      </c>
      <c r="C7">
        <v>20.232747734</v>
      </c>
      <c r="D7">
        <v>21052</v>
      </c>
      <c r="E7">
        <v>92.095799999999997</v>
      </c>
      <c r="F7">
        <v>52.161299999999997</v>
      </c>
      <c r="G7">
        <v>74.046099999999996</v>
      </c>
      <c r="H7">
        <v>25.953900000000001</v>
      </c>
      <c r="I7">
        <v>105</v>
      </c>
      <c r="J7">
        <v>100</v>
      </c>
      <c r="K7">
        <v>100</v>
      </c>
      <c r="L7">
        <v>100</v>
      </c>
      <c r="M7">
        <v>111113.026099</v>
      </c>
      <c r="N7">
        <v>19407.194696999999</v>
      </c>
      <c r="O7">
        <v>91437.960672000001</v>
      </c>
      <c r="P7">
        <v>267.87072999999998</v>
      </c>
      <c r="Q7">
        <v>264.69197500000001</v>
      </c>
      <c r="R7">
        <v>1000</v>
      </c>
      <c r="S7">
        <v>10</v>
      </c>
      <c r="T7">
        <v>0.99</v>
      </c>
      <c r="U7">
        <v>0.566380877303851</v>
      </c>
    </row>
    <row r="8" spans="1:21" x14ac:dyDescent="0.2">
      <c r="A8" s="16" t="s">
        <v>10</v>
      </c>
      <c r="B8">
        <v>4</v>
      </c>
      <c r="C8">
        <v>20.337632876000001</v>
      </c>
      <c r="D8">
        <v>21052</v>
      </c>
      <c r="E8">
        <v>92.095799999999997</v>
      </c>
      <c r="F8">
        <v>52.061599999999999</v>
      </c>
      <c r="G8">
        <v>74.096699999999998</v>
      </c>
      <c r="H8">
        <v>25.903300000000002</v>
      </c>
      <c r="I8">
        <v>105</v>
      </c>
      <c r="J8">
        <v>100</v>
      </c>
      <c r="K8">
        <v>100</v>
      </c>
      <c r="L8">
        <v>100</v>
      </c>
      <c r="M8">
        <v>111619.762133</v>
      </c>
      <c r="N8">
        <v>19407.194696999999</v>
      </c>
      <c r="O8">
        <v>91944.811566000004</v>
      </c>
      <c r="P8">
        <v>267.75587000000002</v>
      </c>
      <c r="Q8">
        <v>264.34469100000001</v>
      </c>
      <c r="R8">
        <v>1000</v>
      </c>
      <c r="S8">
        <v>10</v>
      </c>
      <c r="T8">
        <v>0.99</v>
      </c>
      <c r="U8">
        <v>0.56529830893482658</v>
      </c>
    </row>
    <row r="9" spans="1:21" x14ac:dyDescent="0.2">
      <c r="A9" s="16" t="s">
        <v>10</v>
      </c>
      <c r="B9">
        <v>4</v>
      </c>
      <c r="C9">
        <v>19.942261146</v>
      </c>
      <c r="D9">
        <v>21052</v>
      </c>
      <c r="E9">
        <v>92.095799999999997</v>
      </c>
      <c r="F9">
        <v>51.857300000000002</v>
      </c>
      <c r="G9">
        <v>74.296999999999997</v>
      </c>
      <c r="H9">
        <v>25.702999999999999</v>
      </c>
      <c r="I9">
        <v>105</v>
      </c>
      <c r="J9">
        <v>100</v>
      </c>
      <c r="K9">
        <v>100</v>
      </c>
      <c r="L9">
        <v>100</v>
      </c>
      <c r="M9">
        <v>111799.07802299999</v>
      </c>
      <c r="N9">
        <v>19407.194696999999</v>
      </c>
      <c r="O9">
        <v>92124.132975999994</v>
      </c>
      <c r="P9">
        <v>267.75035000000003</v>
      </c>
      <c r="Q9">
        <v>264.16733499999998</v>
      </c>
      <c r="R9">
        <v>1000</v>
      </c>
      <c r="S9">
        <v>10</v>
      </c>
      <c r="T9">
        <v>0.99</v>
      </c>
      <c r="U9">
        <v>0.56307996673029614</v>
      </c>
    </row>
    <row r="10" spans="1:21" x14ac:dyDescent="0.2">
      <c r="A10" s="16" t="s">
        <v>10</v>
      </c>
      <c r="B10">
        <v>4</v>
      </c>
      <c r="C10">
        <v>19.910371920999999</v>
      </c>
      <c r="D10">
        <v>21052</v>
      </c>
      <c r="E10">
        <v>92.095799999999997</v>
      </c>
      <c r="F10">
        <v>51.9998</v>
      </c>
      <c r="G10">
        <v>74.138999999999996</v>
      </c>
      <c r="H10">
        <v>25.861000000000001</v>
      </c>
      <c r="I10">
        <v>105</v>
      </c>
      <c r="J10">
        <v>100</v>
      </c>
      <c r="K10">
        <v>100</v>
      </c>
      <c r="L10">
        <v>100</v>
      </c>
      <c r="M10">
        <v>111613.32628199999</v>
      </c>
      <c r="N10">
        <v>19407.194696999999</v>
      </c>
      <c r="O10">
        <v>91938.159954999996</v>
      </c>
      <c r="P10">
        <v>267.97163</v>
      </c>
      <c r="Q10">
        <v>264.26603299999999</v>
      </c>
      <c r="R10">
        <v>1000</v>
      </c>
      <c r="S10">
        <v>10</v>
      </c>
      <c r="T10">
        <v>0.99</v>
      </c>
      <c r="U10">
        <v>0.56462726856164991</v>
      </c>
    </row>
    <row r="11" spans="1:21" x14ac:dyDescent="0.2">
      <c r="A11" s="16" t="s">
        <v>10</v>
      </c>
      <c r="B11">
        <v>4</v>
      </c>
      <c r="C11">
        <v>19.967755186000002</v>
      </c>
      <c r="D11">
        <v>21052</v>
      </c>
      <c r="E11">
        <v>92.095799999999997</v>
      </c>
      <c r="F11">
        <v>52.180300000000003</v>
      </c>
      <c r="G11">
        <v>73.682299999999998</v>
      </c>
      <c r="H11">
        <v>26.317699999999999</v>
      </c>
      <c r="I11">
        <v>105</v>
      </c>
      <c r="J11">
        <v>100</v>
      </c>
      <c r="K11">
        <v>100</v>
      </c>
      <c r="L11">
        <v>100</v>
      </c>
      <c r="M11">
        <v>111326.987924</v>
      </c>
      <c r="N11">
        <v>19407.194696999999</v>
      </c>
      <c r="O11">
        <v>91651.838426999995</v>
      </c>
      <c r="P11">
        <v>267.95479999999998</v>
      </c>
      <c r="Q11">
        <v>265.453306</v>
      </c>
      <c r="R11">
        <v>1000</v>
      </c>
      <c r="S11">
        <v>10</v>
      </c>
      <c r="T11">
        <v>0.99</v>
      </c>
      <c r="U11">
        <v>0.56658718421469823</v>
      </c>
    </row>
    <row r="12" spans="1:21" x14ac:dyDescent="0.2">
      <c r="A12" s="16" t="s">
        <v>10</v>
      </c>
      <c r="B12">
        <v>4</v>
      </c>
      <c r="C12">
        <v>19.721883889000001</v>
      </c>
      <c r="D12">
        <v>21052</v>
      </c>
      <c r="E12">
        <v>92.095799999999997</v>
      </c>
      <c r="F12">
        <v>51.729100000000003</v>
      </c>
      <c r="G12">
        <v>74.885199999999998</v>
      </c>
      <c r="H12">
        <v>25.114799999999999</v>
      </c>
      <c r="I12">
        <v>105</v>
      </c>
      <c r="J12">
        <v>100</v>
      </c>
      <c r="K12">
        <v>100</v>
      </c>
      <c r="L12">
        <v>100</v>
      </c>
      <c r="M12">
        <v>111619.741372</v>
      </c>
      <c r="N12">
        <v>19407.194696999999</v>
      </c>
      <c r="O12">
        <v>91944.199754999994</v>
      </c>
      <c r="P12">
        <v>268.34692000000001</v>
      </c>
      <c r="Q12">
        <v>262.28558600000002</v>
      </c>
      <c r="R12">
        <v>1000</v>
      </c>
      <c r="S12">
        <v>10</v>
      </c>
      <c r="T12">
        <v>0.99</v>
      </c>
      <c r="U12">
        <v>0.56168793799500094</v>
      </c>
    </row>
    <row r="13" spans="1:21" x14ac:dyDescent="0.2">
      <c r="A13" s="16" t="s">
        <v>10</v>
      </c>
      <c r="B13">
        <v>4</v>
      </c>
      <c r="C13">
        <v>20.019600106999999</v>
      </c>
      <c r="D13">
        <v>21052</v>
      </c>
      <c r="E13">
        <v>92.095799999999997</v>
      </c>
      <c r="F13">
        <v>51.862099999999998</v>
      </c>
      <c r="G13">
        <v>73.960400000000007</v>
      </c>
      <c r="H13">
        <v>26.0396</v>
      </c>
      <c r="I13">
        <v>105</v>
      </c>
      <c r="J13">
        <v>100</v>
      </c>
      <c r="K13">
        <v>100</v>
      </c>
      <c r="L13">
        <v>100</v>
      </c>
      <c r="M13">
        <v>111569.19543599999</v>
      </c>
      <c r="N13">
        <v>19407.194696999999</v>
      </c>
      <c r="O13">
        <v>91893.934479000003</v>
      </c>
      <c r="P13">
        <v>268.06626</v>
      </c>
      <c r="Q13">
        <v>264.94195400000001</v>
      </c>
      <c r="R13">
        <v>1000</v>
      </c>
      <c r="S13">
        <v>10</v>
      </c>
      <c r="T13">
        <v>0.99</v>
      </c>
      <c r="U13">
        <v>0.56313208637093115</v>
      </c>
    </row>
    <row r="14" spans="1:21" x14ac:dyDescent="0.2">
      <c r="A14" s="16" t="s">
        <v>10</v>
      </c>
      <c r="B14">
        <v>4</v>
      </c>
      <c r="C14">
        <v>19.799730947</v>
      </c>
      <c r="D14">
        <v>21052</v>
      </c>
      <c r="E14">
        <v>92.095799999999997</v>
      </c>
      <c r="F14">
        <v>52.061599999999999</v>
      </c>
      <c r="G14">
        <v>74.169700000000006</v>
      </c>
      <c r="H14">
        <v>25.830300000000001</v>
      </c>
      <c r="I14">
        <v>105</v>
      </c>
      <c r="J14">
        <v>100</v>
      </c>
      <c r="K14">
        <v>100</v>
      </c>
      <c r="L14">
        <v>100</v>
      </c>
      <c r="M14">
        <v>111497.176811</v>
      </c>
      <c r="N14">
        <v>19407.194696999999</v>
      </c>
      <c r="O14">
        <v>91821.768024000005</v>
      </c>
      <c r="P14">
        <v>268.21409</v>
      </c>
      <c r="Q14">
        <v>264.27536900000001</v>
      </c>
      <c r="R14">
        <v>1000</v>
      </c>
      <c r="S14">
        <v>10</v>
      </c>
      <c r="T14">
        <v>0.99</v>
      </c>
      <c r="U14">
        <v>0.56529830893482658</v>
      </c>
    </row>
    <row r="15" spans="1:21" x14ac:dyDescent="0.2">
      <c r="A15" s="16" t="s">
        <v>10</v>
      </c>
      <c r="B15">
        <v>4</v>
      </c>
      <c r="C15">
        <v>19.821547831</v>
      </c>
      <c r="D15">
        <v>21052</v>
      </c>
      <c r="E15">
        <v>92.095799999999997</v>
      </c>
      <c r="F15">
        <v>52.014099999999999</v>
      </c>
      <c r="G15">
        <v>74.209999999999994</v>
      </c>
      <c r="H15">
        <v>25.79</v>
      </c>
      <c r="I15">
        <v>105</v>
      </c>
      <c r="J15">
        <v>100</v>
      </c>
      <c r="K15">
        <v>100</v>
      </c>
      <c r="L15">
        <v>100</v>
      </c>
      <c r="M15">
        <v>111667.836837</v>
      </c>
      <c r="N15">
        <v>19407.194696999999</v>
      </c>
      <c r="O15">
        <v>91992.394180000003</v>
      </c>
      <c r="P15">
        <v>268.24795999999998</v>
      </c>
      <c r="Q15">
        <v>264.08948400000003</v>
      </c>
      <c r="R15">
        <v>1000</v>
      </c>
      <c r="S15">
        <v>10</v>
      </c>
      <c r="T15">
        <v>0.99</v>
      </c>
      <c r="U15">
        <v>0.56478254165770858</v>
      </c>
    </row>
    <row r="16" spans="1:21" x14ac:dyDescent="0.2">
      <c r="A16" s="16" t="s">
        <v>10</v>
      </c>
      <c r="B16">
        <v>4</v>
      </c>
      <c r="C16">
        <v>20.234531140000001</v>
      </c>
      <c r="D16">
        <v>21052</v>
      </c>
      <c r="E16">
        <v>92.095799999999997</v>
      </c>
      <c r="F16">
        <v>51.933300000000003</v>
      </c>
      <c r="G16">
        <v>74.499200000000002</v>
      </c>
      <c r="H16">
        <v>25.500800000000002</v>
      </c>
      <c r="I16">
        <v>105</v>
      </c>
      <c r="J16">
        <v>100</v>
      </c>
      <c r="K16">
        <v>100</v>
      </c>
      <c r="L16">
        <v>100</v>
      </c>
      <c r="M16">
        <v>111579.779885</v>
      </c>
      <c r="N16">
        <v>19407.194696999999</v>
      </c>
      <c r="O16">
        <v>91904.145978</v>
      </c>
      <c r="P16">
        <v>268.43921</v>
      </c>
      <c r="Q16">
        <v>263.61802799999998</v>
      </c>
      <c r="R16">
        <v>1000</v>
      </c>
      <c r="S16">
        <v>10</v>
      </c>
      <c r="T16">
        <v>0.99</v>
      </c>
      <c r="U16">
        <v>0.5639051943736848</v>
      </c>
    </row>
    <row r="17" spans="1:21" x14ac:dyDescent="0.2">
      <c r="A17" s="16" t="s">
        <v>10</v>
      </c>
      <c r="B17">
        <v>4</v>
      </c>
      <c r="C17">
        <v>19.972047058000001</v>
      </c>
      <c r="D17">
        <v>21052</v>
      </c>
      <c r="E17">
        <v>92.095799999999997</v>
      </c>
      <c r="F17">
        <v>52.394100000000002</v>
      </c>
      <c r="G17">
        <v>74.524000000000001</v>
      </c>
      <c r="H17">
        <v>25.475999999999999</v>
      </c>
      <c r="I17">
        <v>105</v>
      </c>
      <c r="J17">
        <v>100</v>
      </c>
      <c r="K17">
        <v>100</v>
      </c>
      <c r="L17">
        <v>100</v>
      </c>
      <c r="M17">
        <v>110953.06540199999</v>
      </c>
      <c r="N17">
        <v>19407.194696999999</v>
      </c>
      <c r="O17">
        <v>91277.930055000004</v>
      </c>
      <c r="P17">
        <v>267.94065000000001</v>
      </c>
      <c r="Q17">
        <v>263.37784199999999</v>
      </c>
      <c r="R17">
        <v>1000</v>
      </c>
      <c r="S17">
        <v>10</v>
      </c>
      <c r="T17">
        <v>0.99</v>
      </c>
      <c r="U17">
        <v>0.56890867987465232</v>
      </c>
    </row>
    <row r="18" spans="1:21" x14ac:dyDescent="0.2">
      <c r="A18" s="16" t="s">
        <v>10</v>
      </c>
      <c r="B18">
        <v>4</v>
      </c>
      <c r="C18">
        <v>20.196796099</v>
      </c>
      <c r="D18">
        <v>21052</v>
      </c>
      <c r="E18">
        <v>92.095799999999997</v>
      </c>
      <c r="F18">
        <v>51.824100000000001</v>
      </c>
      <c r="G18">
        <v>73.593000000000004</v>
      </c>
      <c r="H18">
        <v>26.407</v>
      </c>
      <c r="I18">
        <v>105</v>
      </c>
      <c r="J18">
        <v>100</v>
      </c>
      <c r="K18">
        <v>100</v>
      </c>
      <c r="L18">
        <v>100</v>
      </c>
      <c r="M18">
        <v>111423.65496299999</v>
      </c>
      <c r="N18">
        <v>19407.194696999999</v>
      </c>
      <c r="O18">
        <v>91748.079815999998</v>
      </c>
      <c r="P18">
        <v>268.38045</v>
      </c>
      <c r="Q18">
        <v>265.69890600000002</v>
      </c>
      <c r="R18">
        <v>1000</v>
      </c>
      <c r="S18">
        <v>10</v>
      </c>
      <c r="T18">
        <v>0.99</v>
      </c>
      <c r="U18">
        <v>0.56271947254923682</v>
      </c>
    </row>
    <row r="19" spans="1:21" x14ac:dyDescent="0.2">
      <c r="A19" s="16" t="s">
        <v>10</v>
      </c>
      <c r="B19">
        <v>4</v>
      </c>
      <c r="C19">
        <v>19.799856938000001</v>
      </c>
      <c r="D19">
        <v>21052</v>
      </c>
      <c r="E19">
        <v>92.095799999999997</v>
      </c>
      <c r="F19">
        <v>52.256300000000003</v>
      </c>
      <c r="G19">
        <v>74.293199999999999</v>
      </c>
      <c r="H19">
        <v>25.706800000000001</v>
      </c>
      <c r="I19">
        <v>105</v>
      </c>
      <c r="J19">
        <v>100</v>
      </c>
      <c r="K19">
        <v>100</v>
      </c>
      <c r="L19">
        <v>100</v>
      </c>
      <c r="M19">
        <v>111060.112266</v>
      </c>
      <c r="N19">
        <v>19407.194696999999</v>
      </c>
      <c r="O19">
        <v>91384.734719</v>
      </c>
      <c r="P19">
        <v>268.18284999999997</v>
      </c>
      <c r="Q19">
        <v>264.10632299999997</v>
      </c>
      <c r="R19">
        <v>1000</v>
      </c>
      <c r="S19">
        <v>10</v>
      </c>
      <c r="T19">
        <v>0.99</v>
      </c>
      <c r="U19">
        <v>0.567412411858087</v>
      </c>
    </row>
    <row r="20" spans="1:21" x14ac:dyDescent="0.2">
      <c r="A20" s="16" t="s">
        <v>10</v>
      </c>
      <c r="B20">
        <v>4</v>
      </c>
      <c r="C20">
        <v>19.968937988</v>
      </c>
      <c r="D20">
        <v>21052</v>
      </c>
      <c r="E20">
        <v>92.095799999999997</v>
      </c>
      <c r="F20">
        <v>51.866799999999998</v>
      </c>
      <c r="G20">
        <v>74.338300000000004</v>
      </c>
      <c r="H20">
        <v>25.6617</v>
      </c>
      <c r="I20">
        <v>105</v>
      </c>
      <c r="J20">
        <v>100</v>
      </c>
      <c r="K20">
        <v>100</v>
      </c>
      <c r="L20">
        <v>100</v>
      </c>
      <c r="M20">
        <v>111502.236016</v>
      </c>
      <c r="N20">
        <v>19407.194696999999</v>
      </c>
      <c r="O20">
        <v>91826.843649000002</v>
      </c>
      <c r="P20">
        <v>268.19767000000002</v>
      </c>
      <c r="Q20">
        <v>263.88840900000002</v>
      </c>
      <c r="R20">
        <v>1000</v>
      </c>
      <c r="S20">
        <v>10</v>
      </c>
      <c r="T20">
        <v>0.99</v>
      </c>
      <c r="U20">
        <v>0.5631831201857197</v>
      </c>
    </row>
    <row r="21" spans="1:21" x14ac:dyDescent="0.2">
      <c r="A21" s="16" t="s">
        <v>10</v>
      </c>
      <c r="B21">
        <v>4</v>
      </c>
      <c r="C21">
        <v>20.145809616000001</v>
      </c>
      <c r="D21">
        <v>21052</v>
      </c>
      <c r="E21">
        <v>92.095799999999997</v>
      </c>
      <c r="F21">
        <v>51.790799999999997</v>
      </c>
      <c r="G21">
        <v>74.025499999999994</v>
      </c>
      <c r="H21">
        <v>25.974499999999999</v>
      </c>
      <c r="I21">
        <v>105</v>
      </c>
      <c r="J21">
        <v>100</v>
      </c>
      <c r="K21">
        <v>100</v>
      </c>
      <c r="L21">
        <v>100</v>
      </c>
      <c r="M21">
        <v>111873.587164</v>
      </c>
      <c r="N21">
        <v>19407.194696999999</v>
      </c>
      <c r="O21">
        <v>92198.575307000006</v>
      </c>
      <c r="P21">
        <v>267.81716</v>
      </c>
      <c r="Q21">
        <v>264.46671400000002</v>
      </c>
      <c r="R21">
        <v>1000</v>
      </c>
      <c r="S21">
        <v>10</v>
      </c>
      <c r="T21">
        <v>0.99</v>
      </c>
      <c r="U21">
        <v>0.56235789254233093</v>
      </c>
    </row>
    <row r="22" spans="1:21" x14ac:dyDescent="0.2">
      <c r="A22" s="16" t="s">
        <v>10</v>
      </c>
      <c r="B22">
        <v>4</v>
      </c>
      <c r="C22">
        <v>19.308174946000001</v>
      </c>
      <c r="D22">
        <v>21052</v>
      </c>
      <c r="E22">
        <v>92.095799999999997</v>
      </c>
      <c r="F22">
        <v>51.805100000000003</v>
      </c>
      <c r="G22">
        <v>73.931799999999996</v>
      </c>
      <c r="H22">
        <v>26.068200000000001</v>
      </c>
      <c r="I22">
        <v>105</v>
      </c>
      <c r="J22">
        <v>100</v>
      </c>
      <c r="K22">
        <v>100</v>
      </c>
      <c r="L22">
        <v>100</v>
      </c>
      <c r="M22">
        <v>111448.622256</v>
      </c>
      <c r="N22">
        <v>19407.194696999999</v>
      </c>
      <c r="O22">
        <v>91773.078628999996</v>
      </c>
      <c r="P22">
        <v>268.34893</v>
      </c>
      <c r="Q22">
        <v>264.50458200000003</v>
      </c>
      <c r="R22">
        <v>1000</v>
      </c>
      <c r="S22">
        <v>10</v>
      </c>
      <c r="T22">
        <v>0.99</v>
      </c>
      <c r="U22">
        <v>0.5625131656383896</v>
      </c>
    </row>
    <row r="23" spans="1:21" x14ac:dyDescent="0.2">
      <c r="A23" s="16" t="s">
        <v>10</v>
      </c>
      <c r="B23">
        <v>4</v>
      </c>
      <c r="C23">
        <v>19.502549286000001</v>
      </c>
      <c r="D23">
        <v>21052</v>
      </c>
      <c r="E23">
        <v>92.095799999999997</v>
      </c>
      <c r="F23">
        <v>52.037799999999997</v>
      </c>
      <c r="G23">
        <v>74.121399999999994</v>
      </c>
      <c r="H23">
        <v>25.878599999999999</v>
      </c>
      <c r="I23">
        <v>105</v>
      </c>
      <c r="J23">
        <v>100</v>
      </c>
      <c r="K23">
        <v>100</v>
      </c>
      <c r="L23">
        <v>100</v>
      </c>
      <c r="M23">
        <v>111590.616583</v>
      </c>
      <c r="N23">
        <v>19407.194696999999</v>
      </c>
      <c r="O23">
        <v>91914.682096000004</v>
      </c>
      <c r="P23">
        <v>268.73979000000003</v>
      </c>
      <c r="Q23">
        <v>264.209247</v>
      </c>
      <c r="R23">
        <v>1000</v>
      </c>
      <c r="S23">
        <v>10</v>
      </c>
      <c r="T23">
        <v>0.99</v>
      </c>
      <c r="U23">
        <v>0.56503988238334424</v>
      </c>
    </row>
    <row r="24" spans="1:21" x14ac:dyDescent="0.2">
      <c r="A24" s="16" t="s">
        <v>10</v>
      </c>
      <c r="B24">
        <v>4</v>
      </c>
      <c r="C24">
        <v>19.776930276000002</v>
      </c>
      <c r="D24">
        <v>21052</v>
      </c>
      <c r="E24">
        <v>92.095799999999997</v>
      </c>
      <c r="F24">
        <v>52.332299999999996</v>
      </c>
      <c r="G24">
        <v>74.811700000000002</v>
      </c>
      <c r="H24">
        <v>25.188300000000002</v>
      </c>
      <c r="I24">
        <v>105</v>
      </c>
      <c r="J24">
        <v>100</v>
      </c>
      <c r="K24">
        <v>100</v>
      </c>
      <c r="L24">
        <v>100</v>
      </c>
      <c r="M24">
        <v>110697.25608000001</v>
      </c>
      <c r="N24">
        <v>19407.194696999999</v>
      </c>
      <c r="O24">
        <v>91021.520013000001</v>
      </c>
      <c r="P24">
        <v>268.54136999999997</v>
      </c>
      <c r="Q24">
        <v>262.61675500000001</v>
      </c>
      <c r="R24">
        <v>1000</v>
      </c>
      <c r="S24">
        <v>10</v>
      </c>
      <c r="T24">
        <v>0.99</v>
      </c>
      <c r="U24">
        <v>0.56823763950147566</v>
      </c>
    </row>
    <row r="25" spans="1:21" x14ac:dyDescent="0.2">
      <c r="A25" s="16" t="s">
        <v>10</v>
      </c>
      <c r="B25">
        <v>4</v>
      </c>
      <c r="C25">
        <v>19.790033147999999</v>
      </c>
      <c r="D25">
        <v>21052</v>
      </c>
      <c r="E25">
        <v>92.095799999999997</v>
      </c>
      <c r="F25">
        <v>52.180300000000003</v>
      </c>
      <c r="G25">
        <v>74.283100000000005</v>
      </c>
      <c r="H25">
        <v>25.716899999999999</v>
      </c>
      <c r="I25">
        <v>105</v>
      </c>
      <c r="J25">
        <v>100</v>
      </c>
      <c r="K25">
        <v>100</v>
      </c>
      <c r="L25">
        <v>100</v>
      </c>
      <c r="M25">
        <v>110787.758777</v>
      </c>
      <c r="N25">
        <v>19407.194696999999</v>
      </c>
      <c r="O25">
        <v>91112.472699999998</v>
      </c>
      <c r="P25">
        <v>268.09138000000002</v>
      </c>
      <c r="Q25">
        <v>264.33383400000002</v>
      </c>
      <c r="R25">
        <v>1000</v>
      </c>
      <c r="S25">
        <v>10</v>
      </c>
      <c r="T25">
        <v>0.99</v>
      </c>
      <c r="U25">
        <v>0.56658718421469823</v>
      </c>
    </row>
    <row r="26" spans="1:21" x14ac:dyDescent="0.2">
      <c r="A26" s="16" t="s">
        <v>10</v>
      </c>
      <c r="B26">
        <v>4</v>
      </c>
      <c r="C26">
        <v>19.899346485999999</v>
      </c>
      <c r="D26">
        <v>21052</v>
      </c>
      <c r="E26">
        <v>92.095799999999997</v>
      </c>
      <c r="F26">
        <v>51.7956</v>
      </c>
      <c r="G26">
        <v>73.890299999999996</v>
      </c>
      <c r="H26">
        <v>26.1097</v>
      </c>
      <c r="I26">
        <v>105</v>
      </c>
      <c r="J26">
        <v>100</v>
      </c>
      <c r="K26">
        <v>100</v>
      </c>
      <c r="L26">
        <v>100</v>
      </c>
      <c r="M26">
        <v>111812.799205</v>
      </c>
      <c r="N26">
        <v>19407.194696999999</v>
      </c>
      <c r="O26">
        <v>92137.563137999998</v>
      </c>
      <c r="P26">
        <v>268.04136999999997</v>
      </c>
      <c r="Q26">
        <v>264.99066499999998</v>
      </c>
      <c r="R26">
        <v>1000</v>
      </c>
      <c r="S26">
        <v>10</v>
      </c>
      <c r="T26">
        <v>0.99</v>
      </c>
      <c r="U26">
        <v>0.56241001218296605</v>
      </c>
    </row>
    <row r="27" spans="1:21" x14ac:dyDescent="0.2">
      <c r="A27" s="16" t="s">
        <v>10</v>
      </c>
      <c r="B27">
        <v>4</v>
      </c>
      <c r="C27">
        <v>19.623572106000001</v>
      </c>
      <c r="D27">
        <v>21052</v>
      </c>
      <c r="E27">
        <v>92.095799999999997</v>
      </c>
      <c r="F27">
        <v>52.322800000000001</v>
      </c>
      <c r="G27">
        <v>74.2624</v>
      </c>
      <c r="H27">
        <v>25.7376</v>
      </c>
      <c r="I27">
        <v>105</v>
      </c>
      <c r="J27">
        <v>100</v>
      </c>
      <c r="K27">
        <v>100</v>
      </c>
      <c r="L27">
        <v>100</v>
      </c>
      <c r="M27">
        <v>111224.907322</v>
      </c>
      <c r="N27">
        <v>19407.194696999999</v>
      </c>
      <c r="O27">
        <v>91549.642955000003</v>
      </c>
      <c r="P27">
        <v>268.06966999999997</v>
      </c>
      <c r="Q27">
        <v>264.31111099999998</v>
      </c>
      <c r="R27">
        <v>1000</v>
      </c>
      <c r="S27">
        <v>10</v>
      </c>
      <c r="T27">
        <v>0.99</v>
      </c>
      <c r="U27">
        <v>0.5681344860460521</v>
      </c>
    </row>
    <row r="28" spans="1:21" x14ac:dyDescent="0.2">
      <c r="A28" s="16" t="s">
        <v>10</v>
      </c>
      <c r="B28">
        <v>4</v>
      </c>
      <c r="C28">
        <v>19.649911205999999</v>
      </c>
      <c r="D28">
        <v>21052</v>
      </c>
      <c r="E28">
        <v>92.095799999999997</v>
      </c>
      <c r="F28">
        <v>51.529499999999999</v>
      </c>
      <c r="G28">
        <v>73.691000000000003</v>
      </c>
      <c r="H28">
        <v>26.309000000000001</v>
      </c>
      <c r="I28">
        <v>105</v>
      </c>
      <c r="J28">
        <v>100</v>
      </c>
      <c r="K28">
        <v>100</v>
      </c>
      <c r="L28">
        <v>100</v>
      </c>
      <c r="M28">
        <v>112215.413699</v>
      </c>
      <c r="N28">
        <v>19407.194696999999</v>
      </c>
      <c r="O28">
        <v>92540.105911999999</v>
      </c>
      <c r="P28">
        <v>268.11309</v>
      </c>
      <c r="Q28">
        <v>265.52314200000001</v>
      </c>
      <c r="R28">
        <v>1000</v>
      </c>
      <c r="S28">
        <v>10</v>
      </c>
      <c r="T28">
        <v>0.99</v>
      </c>
      <c r="U28">
        <v>0.55952062960525883</v>
      </c>
    </row>
    <row r="29" spans="1:21" x14ac:dyDescent="0.2">
      <c r="A29" s="16" t="s">
        <v>10</v>
      </c>
      <c r="B29">
        <v>4</v>
      </c>
      <c r="C29">
        <v>19.751102905</v>
      </c>
      <c r="D29">
        <v>21052</v>
      </c>
      <c r="E29">
        <v>92.095799999999997</v>
      </c>
      <c r="F29">
        <v>52.0426</v>
      </c>
      <c r="G29">
        <v>74.388499999999993</v>
      </c>
      <c r="H29">
        <v>25.611499999999999</v>
      </c>
      <c r="I29">
        <v>105</v>
      </c>
      <c r="J29">
        <v>100</v>
      </c>
      <c r="K29">
        <v>100</v>
      </c>
      <c r="L29">
        <v>100</v>
      </c>
      <c r="M29">
        <v>111556.18371100001</v>
      </c>
      <c r="N29">
        <v>19407.194696999999</v>
      </c>
      <c r="O29">
        <v>91880.361323999998</v>
      </c>
      <c r="P29">
        <v>268.62768999999997</v>
      </c>
      <c r="Q29">
        <v>263.59558299999998</v>
      </c>
      <c r="R29">
        <v>1000</v>
      </c>
      <c r="S29">
        <v>10</v>
      </c>
      <c r="T29">
        <v>0.99</v>
      </c>
      <c r="U29">
        <v>0.56509200202397936</v>
      </c>
    </row>
    <row r="30" spans="1:21" x14ac:dyDescent="0.2">
      <c r="A30" s="16" t="s">
        <v>10</v>
      </c>
      <c r="B30">
        <v>4</v>
      </c>
      <c r="C30">
        <v>19.368613318000001</v>
      </c>
      <c r="D30">
        <v>21052</v>
      </c>
      <c r="E30">
        <v>92.095799999999997</v>
      </c>
      <c r="F30">
        <v>52.028300000000002</v>
      </c>
      <c r="G30">
        <v>73.979699999999994</v>
      </c>
      <c r="H30">
        <v>26.020299999999999</v>
      </c>
      <c r="I30">
        <v>105</v>
      </c>
      <c r="J30">
        <v>100</v>
      </c>
      <c r="K30">
        <v>100</v>
      </c>
      <c r="L30">
        <v>100</v>
      </c>
      <c r="M30">
        <v>111177.140831</v>
      </c>
      <c r="N30">
        <v>19407.194696999999</v>
      </c>
      <c r="O30">
        <v>91501.782993999994</v>
      </c>
      <c r="P30">
        <v>268.16314</v>
      </c>
      <c r="Q30">
        <v>264.990433</v>
      </c>
      <c r="R30">
        <v>1000</v>
      </c>
      <c r="S30">
        <v>10</v>
      </c>
      <c r="T30">
        <v>0.99</v>
      </c>
      <c r="U30">
        <v>0.56493672892792079</v>
      </c>
    </row>
    <row r="31" spans="1:21" x14ac:dyDescent="0.2">
      <c r="A31" s="16" t="s">
        <v>10</v>
      </c>
      <c r="B31">
        <v>4</v>
      </c>
      <c r="C31">
        <v>19.593244608999999</v>
      </c>
      <c r="D31">
        <v>21052</v>
      </c>
      <c r="E31">
        <v>92.095799999999997</v>
      </c>
      <c r="F31">
        <v>51.928600000000003</v>
      </c>
      <c r="G31">
        <v>74.268199999999993</v>
      </c>
      <c r="H31">
        <v>25.7318</v>
      </c>
      <c r="I31">
        <v>105</v>
      </c>
      <c r="J31">
        <v>100</v>
      </c>
      <c r="K31">
        <v>100</v>
      </c>
      <c r="L31">
        <v>100</v>
      </c>
      <c r="M31">
        <v>111690.38541</v>
      </c>
      <c r="N31">
        <v>19407.194696999999</v>
      </c>
      <c r="O31">
        <v>92014.842503000007</v>
      </c>
      <c r="P31">
        <v>268.34820999999999</v>
      </c>
      <c r="Q31">
        <v>263.94239099999999</v>
      </c>
      <c r="R31">
        <v>1000</v>
      </c>
      <c r="S31">
        <v>10</v>
      </c>
      <c r="T31">
        <v>0.99</v>
      </c>
      <c r="U31">
        <v>0.56385416055889637</v>
      </c>
    </row>
    <row r="32" spans="1:21" x14ac:dyDescent="0.2">
      <c r="A32" s="16" t="s">
        <v>10</v>
      </c>
      <c r="B32">
        <v>4</v>
      </c>
      <c r="C32">
        <v>20.000394813</v>
      </c>
      <c r="D32">
        <v>21052</v>
      </c>
      <c r="E32">
        <v>92.095799999999997</v>
      </c>
      <c r="F32">
        <v>51.995100000000001</v>
      </c>
      <c r="G32">
        <v>74.100099999999998</v>
      </c>
      <c r="H32">
        <v>25.899899999999999</v>
      </c>
      <c r="I32">
        <v>105</v>
      </c>
      <c r="J32">
        <v>100</v>
      </c>
      <c r="K32">
        <v>100</v>
      </c>
      <c r="L32">
        <v>100</v>
      </c>
      <c r="M32">
        <v>111416.558546</v>
      </c>
      <c r="N32">
        <v>19407.194696999999</v>
      </c>
      <c r="O32">
        <v>91741.111598999996</v>
      </c>
      <c r="P32">
        <v>268.25225</v>
      </c>
      <c r="Q32">
        <v>264.70202399999999</v>
      </c>
      <c r="R32">
        <v>1000</v>
      </c>
      <c r="S32">
        <v>10</v>
      </c>
      <c r="T32">
        <v>0.99</v>
      </c>
      <c r="U32">
        <v>0.56457623474686147</v>
      </c>
    </row>
    <row r="33" spans="1:21" x14ac:dyDescent="0.2">
      <c r="A33" s="16" t="s">
        <v>10</v>
      </c>
      <c r="B33">
        <v>4</v>
      </c>
      <c r="C33">
        <v>19.431268336999999</v>
      </c>
      <c r="D33">
        <v>21052</v>
      </c>
      <c r="E33">
        <v>92.095799999999997</v>
      </c>
      <c r="F33">
        <v>52.056800000000003</v>
      </c>
      <c r="G33">
        <v>73.775000000000006</v>
      </c>
      <c r="H33">
        <v>26.225000000000001</v>
      </c>
      <c r="I33">
        <v>105</v>
      </c>
      <c r="J33">
        <v>100</v>
      </c>
      <c r="K33">
        <v>100</v>
      </c>
      <c r="L33">
        <v>100</v>
      </c>
      <c r="M33">
        <v>111516.85053500001</v>
      </c>
      <c r="N33">
        <v>19407.194696999999</v>
      </c>
      <c r="O33">
        <v>91841.835428000006</v>
      </c>
      <c r="P33">
        <v>267.82040999999998</v>
      </c>
      <c r="Q33">
        <v>265.244123</v>
      </c>
      <c r="R33">
        <v>1000</v>
      </c>
      <c r="S33">
        <v>10</v>
      </c>
      <c r="T33">
        <v>0.99</v>
      </c>
      <c r="U33">
        <v>0.56524618929419157</v>
      </c>
    </row>
    <row r="34" spans="1:21" x14ac:dyDescent="0.2">
      <c r="A34" s="16" t="s">
        <v>10</v>
      </c>
      <c r="B34">
        <v>4</v>
      </c>
      <c r="C34">
        <v>19.932794113</v>
      </c>
      <c r="D34">
        <v>21052</v>
      </c>
      <c r="E34">
        <v>92.095799999999997</v>
      </c>
      <c r="F34">
        <v>51.738599999999998</v>
      </c>
      <c r="G34">
        <v>73.677899999999994</v>
      </c>
      <c r="H34">
        <v>26.322099999999999</v>
      </c>
      <c r="I34">
        <v>105</v>
      </c>
      <c r="J34">
        <v>100</v>
      </c>
      <c r="K34">
        <v>100</v>
      </c>
      <c r="L34">
        <v>100</v>
      </c>
      <c r="M34">
        <v>111906.878538</v>
      </c>
      <c r="N34">
        <v>19407.194696999999</v>
      </c>
      <c r="O34">
        <v>92231.754971000002</v>
      </c>
      <c r="P34">
        <v>267.92887000000002</v>
      </c>
      <c r="Q34">
        <v>265.35010599999998</v>
      </c>
      <c r="R34">
        <v>1000</v>
      </c>
      <c r="S34">
        <v>10</v>
      </c>
      <c r="T34">
        <v>0.99</v>
      </c>
      <c r="U34">
        <v>0.5617910914504245</v>
      </c>
    </row>
    <row r="35" spans="1:21" x14ac:dyDescent="0.2">
      <c r="A35" s="16" t="s">
        <v>10</v>
      </c>
      <c r="B35">
        <v>4</v>
      </c>
      <c r="C35">
        <v>19.948568375000001</v>
      </c>
      <c r="D35">
        <v>21052</v>
      </c>
      <c r="E35">
        <v>92.095799999999997</v>
      </c>
      <c r="F35">
        <v>52.180300000000003</v>
      </c>
      <c r="G35">
        <v>74.401499999999999</v>
      </c>
      <c r="H35">
        <v>25.598500000000001</v>
      </c>
      <c r="I35">
        <v>105</v>
      </c>
      <c r="J35">
        <v>100</v>
      </c>
      <c r="K35">
        <v>100</v>
      </c>
      <c r="L35">
        <v>100</v>
      </c>
      <c r="M35">
        <v>111606.27794099999</v>
      </c>
      <c r="N35">
        <v>19407.194696999999</v>
      </c>
      <c r="O35">
        <v>91930.971674</v>
      </c>
      <c r="P35">
        <v>268.11156999999997</v>
      </c>
      <c r="Q35">
        <v>263.364261</v>
      </c>
      <c r="R35">
        <v>1000</v>
      </c>
      <c r="S35">
        <v>10</v>
      </c>
      <c r="T35">
        <v>0.99</v>
      </c>
      <c r="U35">
        <v>0.56658718421469823</v>
      </c>
    </row>
    <row r="36" spans="1:21" x14ac:dyDescent="0.2">
      <c r="A36" s="16" t="s">
        <v>10</v>
      </c>
      <c r="B36">
        <v>4</v>
      </c>
      <c r="C36">
        <v>19.921059405000001</v>
      </c>
      <c r="D36">
        <v>21052</v>
      </c>
      <c r="E36">
        <v>92.095799999999997</v>
      </c>
      <c r="F36">
        <v>51.643500000000003</v>
      </c>
      <c r="G36">
        <v>74.135400000000004</v>
      </c>
      <c r="H36">
        <v>25.864599999999999</v>
      </c>
      <c r="I36">
        <v>105</v>
      </c>
      <c r="J36">
        <v>100</v>
      </c>
      <c r="K36">
        <v>100</v>
      </c>
      <c r="L36">
        <v>100</v>
      </c>
      <c r="M36">
        <v>111868.517989</v>
      </c>
      <c r="N36">
        <v>19407.194696999999</v>
      </c>
      <c r="O36">
        <v>92192.891831999994</v>
      </c>
      <c r="P36">
        <v>268.43146000000002</v>
      </c>
      <c r="Q36">
        <v>264.71949999999998</v>
      </c>
      <c r="R36">
        <v>1000</v>
      </c>
      <c r="S36">
        <v>10</v>
      </c>
      <c r="T36">
        <v>0.99</v>
      </c>
      <c r="U36">
        <v>0.56075847107034205</v>
      </c>
    </row>
    <row r="37" spans="1:21" x14ac:dyDescent="0.2">
      <c r="A37" s="16" t="s">
        <v>11</v>
      </c>
      <c r="B37">
        <v>4</v>
      </c>
      <c r="C37">
        <v>70.019456336999994</v>
      </c>
      <c r="D37">
        <v>21052</v>
      </c>
      <c r="E37">
        <v>92.095799999999997</v>
      </c>
      <c r="F37">
        <v>56.327199999999998</v>
      </c>
      <c r="G37">
        <v>71.268299999999996</v>
      </c>
      <c r="H37">
        <v>28.7317</v>
      </c>
      <c r="I37">
        <v>105</v>
      </c>
      <c r="J37">
        <v>100</v>
      </c>
      <c r="K37">
        <v>100</v>
      </c>
      <c r="L37">
        <v>100</v>
      </c>
      <c r="M37">
        <v>111335.72045199999</v>
      </c>
      <c r="N37">
        <v>19407.194696999999</v>
      </c>
      <c r="O37">
        <v>91660.778305</v>
      </c>
      <c r="P37">
        <v>267.74745000000001</v>
      </c>
      <c r="Q37">
        <v>272.59681399999999</v>
      </c>
      <c r="R37">
        <v>1000</v>
      </c>
      <c r="S37">
        <v>10</v>
      </c>
      <c r="T37">
        <v>0.99</v>
      </c>
      <c r="U37">
        <v>0.61161529624586575</v>
      </c>
    </row>
    <row r="38" spans="1:21" x14ac:dyDescent="0.2">
      <c r="A38" s="16" t="s">
        <v>11</v>
      </c>
      <c r="B38">
        <v>4</v>
      </c>
      <c r="C38">
        <v>69.424716282999995</v>
      </c>
      <c r="D38">
        <v>21052</v>
      </c>
      <c r="E38">
        <v>92.095799999999997</v>
      </c>
      <c r="F38">
        <v>56.279699999999998</v>
      </c>
      <c r="G38">
        <v>70.881200000000007</v>
      </c>
      <c r="H38">
        <v>29.1188</v>
      </c>
      <c r="I38">
        <v>105</v>
      </c>
      <c r="J38">
        <v>100</v>
      </c>
      <c r="K38">
        <v>100</v>
      </c>
      <c r="L38">
        <v>100</v>
      </c>
      <c r="M38">
        <v>111418.088613</v>
      </c>
      <c r="N38">
        <v>19407.194696999999</v>
      </c>
      <c r="O38">
        <v>91743.340995999999</v>
      </c>
      <c r="P38">
        <v>267.55291999999997</v>
      </c>
      <c r="Q38">
        <v>273.33879300000001</v>
      </c>
      <c r="R38">
        <v>1000</v>
      </c>
      <c r="S38">
        <v>10</v>
      </c>
      <c r="T38">
        <v>0.99</v>
      </c>
      <c r="U38">
        <v>0.61109952896874775</v>
      </c>
    </row>
    <row r="39" spans="1:21" x14ac:dyDescent="0.2">
      <c r="A39" s="16" t="s">
        <v>11</v>
      </c>
      <c r="B39">
        <v>4</v>
      </c>
      <c r="C39">
        <v>69.355384925999999</v>
      </c>
      <c r="D39">
        <v>21052</v>
      </c>
      <c r="E39">
        <v>92.095799999999997</v>
      </c>
      <c r="F39">
        <v>56.070700000000002</v>
      </c>
      <c r="G39">
        <v>71.306299999999993</v>
      </c>
      <c r="H39">
        <v>28.6937</v>
      </c>
      <c r="I39">
        <v>105</v>
      </c>
      <c r="J39">
        <v>100</v>
      </c>
      <c r="K39">
        <v>100</v>
      </c>
      <c r="L39">
        <v>100</v>
      </c>
      <c r="M39">
        <v>111517.60120799999</v>
      </c>
      <c r="N39">
        <v>19407.194696999999</v>
      </c>
      <c r="O39">
        <v>91843.388110999993</v>
      </c>
      <c r="P39">
        <v>267.01839999999999</v>
      </c>
      <c r="Q39">
        <v>271.97159599999998</v>
      </c>
      <c r="R39">
        <v>1000</v>
      </c>
      <c r="S39">
        <v>10</v>
      </c>
      <c r="T39">
        <v>0.99</v>
      </c>
      <c r="U39">
        <v>0.60883015294942877</v>
      </c>
    </row>
    <row r="40" spans="1:21" x14ac:dyDescent="0.2">
      <c r="A40" s="16" t="s">
        <v>11</v>
      </c>
      <c r="B40">
        <v>4</v>
      </c>
      <c r="C40">
        <v>70.591970052999997</v>
      </c>
      <c r="D40">
        <v>21052</v>
      </c>
      <c r="E40">
        <v>92.095799999999997</v>
      </c>
      <c r="F40">
        <v>56.1372</v>
      </c>
      <c r="G40">
        <v>71.890299999999996</v>
      </c>
      <c r="H40">
        <v>28.1097</v>
      </c>
      <c r="I40">
        <v>105</v>
      </c>
      <c r="J40">
        <v>100</v>
      </c>
      <c r="K40">
        <v>100</v>
      </c>
      <c r="L40">
        <v>100</v>
      </c>
      <c r="M40">
        <v>111639.101974</v>
      </c>
      <c r="N40">
        <v>19407.194696999999</v>
      </c>
      <c r="O40">
        <v>91964.191017000005</v>
      </c>
      <c r="P40">
        <v>267.71625999999998</v>
      </c>
      <c r="Q40">
        <v>270.535099</v>
      </c>
      <c r="R40">
        <v>1000</v>
      </c>
      <c r="S40">
        <v>10</v>
      </c>
      <c r="T40">
        <v>0.99</v>
      </c>
      <c r="U40">
        <v>0.60955222713739388</v>
      </c>
    </row>
    <row r="41" spans="1:21" x14ac:dyDescent="0.2">
      <c r="A41" s="16" t="s">
        <v>11</v>
      </c>
      <c r="B41">
        <v>4</v>
      </c>
      <c r="C41">
        <v>69.818697162999996</v>
      </c>
      <c r="D41">
        <v>21052</v>
      </c>
      <c r="E41">
        <v>92.095799999999997</v>
      </c>
      <c r="F41">
        <v>55.985199999999999</v>
      </c>
      <c r="G41">
        <v>72.009200000000007</v>
      </c>
      <c r="H41">
        <v>27.9908</v>
      </c>
      <c r="I41">
        <v>105</v>
      </c>
      <c r="J41">
        <v>100</v>
      </c>
      <c r="K41">
        <v>100</v>
      </c>
      <c r="L41">
        <v>100</v>
      </c>
      <c r="M41">
        <v>111774.63595700001</v>
      </c>
      <c r="N41">
        <v>19407.194696999999</v>
      </c>
      <c r="O41">
        <v>92099.708360000004</v>
      </c>
      <c r="P41">
        <v>267.73289999999997</v>
      </c>
      <c r="Q41">
        <v>270.39592699999997</v>
      </c>
      <c r="R41">
        <v>1000</v>
      </c>
      <c r="S41">
        <v>10</v>
      </c>
      <c r="T41">
        <v>0.99</v>
      </c>
      <c r="U41">
        <v>0.60790177185061645</v>
      </c>
    </row>
    <row r="42" spans="1:21" x14ac:dyDescent="0.2">
      <c r="A42" s="16" t="s">
        <v>11</v>
      </c>
      <c r="B42">
        <v>4</v>
      </c>
      <c r="C42">
        <v>70.422626510000001</v>
      </c>
      <c r="D42">
        <v>21052</v>
      </c>
      <c r="E42">
        <v>92.095799999999997</v>
      </c>
      <c r="F42">
        <v>56.227400000000003</v>
      </c>
      <c r="G42">
        <v>70.769599999999997</v>
      </c>
      <c r="H42">
        <v>29.230399999999999</v>
      </c>
      <c r="I42">
        <v>105</v>
      </c>
      <c r="J42">
        <v>100</v>
      </c>
      <c r="K42">
        <v>100</v>
      </c>
      <c r="L42">
        <v>100</v>
      </c>
      <c r="M42">
        <v>111413.00511</v>
      </c>
      <c r="N42">
        <v>19407.194696999999</v>
      </c>
      <c r="O42">
        <v>91738.280603000007</v>
      </c>
      <c r="P42">
        <v>267.52981</v>
      </c>
      <c r="Q42">
        <v>273.67719099999999</v>
      </c>
      <c r="R42">
        <v>1000</v>
      </c>
      <c r="S42">
        <v>10</v>
      </c>
      <c r="T42">
        <v>0.99</v>
      </c>
      <c r="U42">
        <v>0.61053164205099475</v>
      </c>
    </row>
    <row r="43" spans="1:21" x14ac:dyDescent="0.2">
      <c r="A43" s="16" t="s">
        <v>11</v>
      </c>
      <c r="B43">
        <v>4</v>
      </c>
      <c r="C43">
        <v>70.651751082000004</v>
      </c>
      <c r="D43">
        <v>21052</v>
      </c>
      <c r="E43">
        <v>92.095799999999997</v>
      </c>
      <c r="F43">
        <v>56.2654</v>
      </c>
      <c r="G43">
        <v>71.321200000000005</v>
      </c>
      <c r="H43">
        <v>28.678799999999999</v>
      </c>
      <c r="I43">
        <v>105</v>
      </c>
      <c r="J43">
        <v>100</v>
      </c>
      <c r="K43">
        <v>100</v>
      </c>
      <c r="L43">
        <v>100</v>
      </c>
      <c r="M43">
        <v>111348.48995</v>
      </c>
      <c r="N43">
        <v>19407.194696999999</v>
      </c>
      <c r="O43">
        <v>91673.859272999995</v>
      </c>
      <c r="P43">
        <v>267.43597999999997</v>
      </c>
      <c r="Q43">
        <v>272.56171799999998</v>
      </c>
      <c r="R43">
        <v>1000</v>
      </c>
      <c r="S43">
        <v>10</v>
      </c>
      <c r="T43">
        <v>0.99</v>
      </c>
      <c r="U43">
        <v>0.61094425587268908</v>
      </c>
    </row>
    <row r="44" spans="1:21" x14ac:dyDescent="0.2">
      <c r="A44" s="16" t="s">
        <v>11</v>
      </c>
      <c r="B44">
        <v>4</v>
      </c>
      <c r="C44">
        <v>69.937796175000003</v>
      </c>
      <c r="D44">
        <v>21052</v>
      </c>
      <c r="E44">
        <v>92.095799999999997</v>
      </c>
      <c r="F44">
        <v>56.203699999999998</v>
      </c>
      <c r="G44">
        <v>70.748800000000003</v>
      </c>
      <c r="H44">
        <v>29.251200000000001</v>
      </c>
      <c r="I44">
        <v>105</v>
      </c>
      <c r="J44">
        <v>100</v>
      </c>
      <c r="K44">
        <v>100</v>
      </c>
      <c r="L44">
        <v>100</v>
      </c>
      <c r="M44">
        <v>111650.001206</v>
      </c>
      <c r="N44">
        <v>19407.194696999999</v>
      </c>
      <c r="O44">
        <v>91975.500839</v>
      </c>
      <c r="P44">
        <v>267.30567000000002</v>
      </c>
      <c r="Q44">
        <v>273.38137399999999</v>
      </c>
      <c r="R44">
        <v>1000</v>
      </c>
      <c r="S44">
        <v>10</v>
      </c>
      <c r="T44">
        <v>0.99</v>
      </c>
      <c r="U44">
        <v>0.61027430132535898</v>
      </c>
    </row>
    <row r="45" spans="1:21" x14ac:dyDescent="0.2">
      <c r="A45" s="16" t="s">
        <v>11</v>
      </c>
      <c r="B45">
        <v>4</v>
      </c>
      <c r="C45">
        <v>70.504346181000003</v>
      </c>
      <c r="D45">
        <v>21052</v>
      </c>
      <c r="E45">
        <v>92.095799999999997</v>
      </c>
      <c r="F45">
        <v>56.246400000000001</v>
      </c>
      <c r="G45">
        <v>70.863900000000001</v>
      </c>
      <c r="H45">
        <v>29.136099999999999</v>
      </c>
      <c r="I45">
        <v>105</v>
      </c>
      <c r="J45">
        <v>99.047600000000003</v>
      </c>
      <c r="K45">
        <v>99</v>
      </c>
      <c r="L45">
        <v>100</v>
      </c>
      <c r="M45">
        <v>111487.910818</v>
      </c>
      <c r="N45">
        <v>19407.194696999999</v>
      </c>
      <c r="O45">
        <v>91813.293011000002</v>
      </c>
      <c r="P45">
        <v>267.42311000000001</v>
      </c>
      <c r="Q45">
        <v>273.499349</v>
      </c>
      <c r="R45">
        <v>1000</v>
      </c>
      <c r="S45">
        <v>10</v>
      </c>
      <c r="T45">
        <v>0.99</v>
      </c>
      <c r="U45">
        <v>0.61073794896184197</v>
      </c>
    </row>
    <row r="46" spans="1:21" x14ac:dyDescent="0.2">
      <c r="A46" s="16" t="s">
        <v>11</v>
      </c>
      <c r="B46">
        <v>4</v>
      </c>
      <c r="C46">
        <v>70.181323590999995</v>
      </c>
      <c r="D46">
        <v>21052</v>
      </c>
      <c r="E46">
        <v>92.095799999999997</v>
      </c>
      <c r="F46">
        <v>56.122900000000001</v>
      </c>
      <c r="G46">
        <v>71.231499999999997</v>
      </c>
      <c r="H46">
        <v>28.7685</v>
      </c>
      <c r="I46">
        <v>105</v>
      </c>
      <c r="J46">
        <v>100</v>
      </c>
      <c r="K46">
        <v>100</v>
      </c>
      <c r="L46">
        <v>100</v>
      </c>
      <c r="M46">
        <v>111905.250602</v>
      </c>
      <c r="N46">
        <v>19407.194696999999</v>
      </c>
      <c r="O46">
        <v>92230.938005000004</v>
      </c>
      <c r="P46">
        <v>267.11790000000002</v>
      </c>
      <c r="Q46">
        <v>272.04732200000001</v>
      </c>
      <c r="R46">
        <v>1000</v>
      </c>
      <c r="S46">
        <v>10</v>
      </c>
      <c r="T46">
        <v>0.99</v>
      </c>
      <c r="U46">
        <v>0.6093969540413352</v>
      </c>
    </row>
    <row r="47" spans="1:21" x14ac:dyDescent="0.2">
      <c r="A47" s="16" t="s">
        <v>11</v>
      </c>
      <c r="B47">
        <v>4</v>
      </c>
      <c r="C47">
        <v>70.70274732</v>
      </c>
      <c r="D47">
        <v>21052</v>
      </c>
      <c r="E47">
        <v>92.095799999999997</v>
      </c>
      <c r="F47">
        <v>56.203699999999998</v>
      </c>
      <c r="G47">
        <v>71.129099999999994</v>
      </c>
      <c r="H47">
        <v>28.870899999999999</v>
      </c>
      <c r="I47">
        <v>105</v>
      </c>
      <c r="J47">
        <v>100</v>
      </c>
      <c r="K47">
        <v>100</v>
      </c>
      <c r="L47">
        <v>100</v>
      </c>
      <c r="M47">
        <v>111643.54821399999</v>
      </c>
      <c r="N47">
        <v>19407.194696999999</v>
      </c>
      <c r="O47">
        <v>91968.915567000004</v>
      </c>
      <c r="P47">
        <v>267.43795</v>
      </c>
      <c r="Q47">
        <v>272.39130599999999</v>
      </c>
      <c r="R47">
        <v>1000</v>
      </c>
      <c r="S47">
        <v>10</v>
      </c>
      <c r="T47">
        <v>0.99</v>
      </c>
      <c r="U47">
        <v>0.61027430132535898</v>
      </c>
    </row>
    <row r="48" spans="1:21" x14ac:dyDescent="0.2">
      <c r="A48" s="16" t="s">
        <v>11</v>
      </c>
      <c r="B48">
        <v>4</v>
      </c>
      <c r="C48">
        <v>70.717885961999997</v>
      </c>
      <c r="D48">
        <v>21052</v>
      </c>
      <c r="E48">
        <v>92.095799999999997</v>
      </c>
      <c r="F48">
        <v>56.156199999999998</v>
      </c>
      <c r="G48">
        <v>71.273899999999998</v>
      </c>
      <c r="H48">
        <v>28.726099999999999</v>
      </c>
      <c r="I48">
        <v>105</v>
      </c>
      <c r="J48">
        <v>100</v>
      </c>
      <c r="K48">
        <v>100</v>
      </c>
      <c r="L48">
        <v>100</v>
      </c>
      <c r="M48">
        <v>111745.574502</v>
      </c>
      <c r="N48">
        <v>19407.194696999999</v>
      </c>
      <c r="O48">
        <v>92071.078655000005</v>
      </c>
      <c r="P48">
        <v>267.30115000000001</v>
      </c>
      <c r="Q48">
        <v>271.80592000000001</v>
      </c>
      <c r="R48">
        <v>1000</v>
      </c>
      <c r="S48">
        <v>10</v>
      </c>
      <c r="T48">
        <v>0.99</v>
      </c>
      <c r="U48">
        <v>0.6097585340482411</v>
      </c>
    </row>
    <row r="49" spans="1:21" x14ac:dyDescent="0.2">
      <c r="A49" s="16" t="s">
        <v>11</v>
      </c>
      <c r="B49">
        <v>4</v>
      </c>
      <c r="C49">
        <v>69.825835690999995</v>
      </c>
      <c r="D49">
        <v>21052</v>
      </c>
      <c r="E49">
        <v>92.095799999999997</v>
      </c>
      <c r="F49">
        <v>56.350900000000003</v>
      </c>
      <c r="G49">
        <v>71.322599999999994</v>
      </c>
      <c r="H49">
        <v>28.677399999999999</v>
      </c>
      <c r="I49">
        <v>105</v>
      </c>
      <c r="J49">
        <v>100</v>
      </c>
      <c r="K49">
        <v>100</v>
      </c>
      <c r="L49">
        <v>100</v>
      </c>
      <c r="M49">
        <v>111265.395494</v>
      </c>
      <c r="N49">
        <v>19407.194696999999</v>
      </c>
      <c r="O49">
        <v>91590.040827000004</v>
      </c>
      <c r="P49">
        <v>268.15996999999999</v>
      </c>
      <c r="Q49">
        <v>272.23979300000002</v>
      </c>
      <c r="R49">
        <v>1000</v>
      </c>
      <c r="S49">
        <v>10</v>
      </c>
      <c r="T49">
        <v>0.99</v>
      </c>
      <c r="U49">
        <v>0.61187263697150152</v>
      </c>
    </row>
    <row r="50" spans="1:21" x14ac:dyDescent="0.2">
      <c r="A50" s="16" t="s">
        <v>11</v>
      </c>
      <c r="B50">
        <v>4</v>
      </c>
      <c r="C50">
        <v>70.080289523000005</v>
      </c>
      <c r="D50">
        <v>21052</v>
      </c>
      <c r="E50">
        <v>92.095799999999997</v>
      </c>
      <c r="F50">
        <v>56.194200000000002</v>
      </c>
      <c r="G50">
        <v>71.073499999999996</v>
      </c>
      <c r="H50">
        <v>28.926500000000001</v>
      </c>
      <c r="I50">
        <v>105</v>
      </c>
      <c r="J50">
        <v>100</v>
      </c>
      <c r="K50">
        <v>100</v>
      </c>
      <c r="L50">
        <v>100</v>
      </c>
      <c r="M50">
        <v>111136.401939</v>
      </c>
      <c r="N50">
        <v>19407.194696999999</v>
      </c>
      <c r="O50">
        <v>91461.921501999997</v>
      </c>
      <c r="P50">
        <v>267.28573999999998</v>
      </c>
      <c r="Q50">
        <v>272.98419899999999</v>
      </c>
      <c r="R50">
        <v>1000</v>
      </c>
      <c r="S50">
        <v>10</v>
      </c>
      <c r="T50">
        <v>0.99</v>
      </c>
      <c r="U50">
        <v>0.61017114786993543</v>
      </c>
    </row>
    <row r="51" spans="1:21" x14ac:dyDescent="0.2">
      <c r="A51" s="16" t="s">
        <v>11</v>
      </c>
      <c r="B51">
        <v>4</v>
      </c>
      <c r="C51">
        <v>70.447912457000001</v>
      </c>
      <c r="D51">
        <v>21052</v>
      </c>
      <c r="E51">
        <v>92.095799999999997</v>
      </c>
      <c r="F51">
        <v>56.108699999999999</v>
      </c>
      <c r="G51">
        <v>71.444299999999998</v>
      </c>
      <c r="H51">
        <v>28.555700000000002</v>
      </c>
      <c r="I51">
        <v>105</v>
      </c>
      <c r="J51">
        <v>100</v>
      </c>
      <c r="K51">
        <v>100</v>
      </c>
      <c r="L51">
        <v>100</v>
      </c>
      <c r="M51">
        <v>111404.675259</v>
      </c>
      <c r="N51">
        <v>19407.194696999999</v>
      </c>
      <c r="O51">
        <v>91729.750092000002</v>
      </c>
      <c r="P51">
        <v>267.73047000000003</v>
      </c>
      <c r="Q51">
        <v>271.688491</v>
      </c>
      <c r="R51">
        <v>1000</v>
      </c>
      <c r="S51">
        <v>10</v>
      </c>
      <c r="T51">
        <v>0.99</v>
      </c>
      <c r="U51">
        <v>0.6092427667711231</v>
      </c>
    </row>
    <row r="52" spans="1:21" x14ac:dyDescent="0.2">
      <c r="A52" s="16" t="s">
        <v>11</v>
      </c>
      <c r="B52">
        <v>4</v>
      </c>
      <c r="C52">
        <v>70.292709311999999</v>
      </c>
      <c r="D52">
        <v>21052</v>
      </c>
      <c r="E52">
        <v>92.095799999999997</v>
      </c>
      <c r="F52">
        <v>56.080199999999998</v>
      </c>
      <c r="G52">
        <v>71.268799999999999</v>
      </c>
      <c r="H52">
        <v>28.731200000000001</v>
      </c>
      <c r="I52">
        <v>105</v>
      </c>
      <c r="J52">
        <v>100</v>
      </c>
      <c r="K52">
        <v>100</v>
      </c>
      <c r="L52">
        <v>100</v>
      </c>
      <c r="M52">
        <v>111743.974352</v>
      </c>
      <c r="N52">
        <v>19407.194696999999</v>
      </c>
      <c r="O52">
        <v>92068.849984999993</v>
      </c>
      <c r="P52">
        <v>267.92966999999999</v>
      </c>
      <c r="Q52">
        <v>272.20340800000002</v>
      </c>
      <c r="R52">
        <v>1000</v>
      </c>
      <c r="S52">
        <v>10</v>
      </c>
      <c r="T52">
        <v>0.99</v>
      </c>
      <c r="U52">
        <v>0.60893330640485233</v>
      </c>
    </row>
    <row r="53" spans="1:21" x14ac:dyDescent="0.2">
      <c r="A53" s="16" t="s">
        <v>11</v>
      </c>
      <c r="B53">
        <v>4</v>
      </c>
      <c r="C53">
        <v>69.819291199000006</v>
      </c>
      <c r="D53">
        <v>21052</v>
      </c>
      <c r="E53">
        <v>92.095799999999997</v>
      </c>
      <c r="F53">
        <v>56.061199999999999</v>
      </c>
      <c r="G53">
        <v>71.030299999999997</v>
      </c>
      <c r="H53">
        <v>28.9697</v>
      </c>
      <c r="I53">
        <v>105</v>
      </c>
      <c r="J53">
        <v>100</v>
      </c>
      <c r="K53">
        <v>100</v>
      </c>
      <c r="L53">
        <v>100</v>
      </c>
      <c r="M53">
        <v>112010.30076300001</v>
      </c>
      <c r="N53">
        <v>19407.194696999999</v>
      </c>
      <c r="O53">
        <v>92335.437816000005</v>
      </c>
      <c r="P53">
        <v>267.66825</v>
      </c>
      <c r="Q53">
        <v>272.51297299999999</v>
      </c>
      <c r="R53">
        <v>1000</v>
      </c>
      <c r="S53">
        <v>10</v>
      </c>
      <c r="T53">
        <v>0.99</v>
      </c>
      <c r="U53">
        <v>0.60872699949400522</v>
      </c>
    </row>
    <row r="54" spans="1:21" x14ac:dyDescent="0.2">
      <c r="A54" s="16" t="s">
        <v>11</v>
      </c>
      <c r="B54">
        <v>4</v>
      </c>
      <c r="C54">
        <v>70.773202288999997</v>
      </c>
      <c r="D54">
        <v>21052</v>
      </c>
      <c r="E54">
        <v>92.095799999999997</v>
      </c>
      <c r="F54">
        <v>56.2607</v>
      </c>
      <c r="G54">
        <v>70.998000000000005</v>
      </c>
      <c r="H54">
        <v>29.001999999999999</v>
      </c>
      <c r="I54">
        <v>105</v>
      </c>
      <c r="J54">
        <v>100</v>
      </c>
      <c r="K54">
        <v>100</v>
      </c>
      <c r="L54">
        <v>100</v>
      </c>
      <c r="M54">
        <v>112024.31670700001</v>
      </c>
      <c r="N54">
        <v>19407.194696999999</v>
      </c>
      <c r="O54">
        <v>92349.586330000006</v>
      </c>
      <c r="P54">
        <v>267.53568000000001</v>
      </c>
      <c r="Q54">
        <v>272.84993800000001</v>
      </c>
      <c r="R54">
        <v>1000</v>
      </c>
      <c r="S54">
        <v>10</v>
      </c>
      <c r="T54">
        <v>0.99</v>
      </c>
      <c r="U54">
        <v>0.61089322205790064</v>
      </c>
    </row>
    <row r="55" spans="1:21" x14ac:dyDescent="0.2">
      <c r="A55" s="16" t="s">
        <v>11</v>
      </c>
      <c r="B55">
        <v>4</v>
      </c>
      <c r="C55">
        <v>70.600696271000004</v>
      </c>
      <c r="D55">
        <v>21052</v>
      </c>
      <c r="E55">
        <v>92.095799999999997</v>
      </c>
      <c r="F55">
        <v>56.346200000000003</v>
      </c>
      <c r="G55">
        <v>71.573099999999997</v>
      </c>
      <c r="H55">
        <v>28.4269</v>
      </c>
      <c r="I55">
        <v>105</v>
      </c>
      <c r="J55">
        <v>100</v>
      </c>
      <c r="K55">
        <v>100</v>
      </c>
      <c r="L55">
        <v>100</v>
      </c>
      <c r="M55">
        <v>111201.777692</v>
      </c>
      <c r="N55">
        <v>19407.194696999999</v>
      </c>
      <c r="O55">
        <v>91527.288815000007</v>
      </c>
      <c r="P55">
        <v>267.29417999999998</v>
      </c>
      <c r="Q55">
        <v>271.56699600000002</v>
      </c>
      <c r="R55">
        <v>1000</v>
      </c>
      <c r="S55">
        <v>10</v>
      </c>
      <c r="T55">
        <v>0.99</v>
      </c>
      <c r="U55">
        <v>0.61182160315671297</v>
      </c>
    </row>
    <row r="56" spans="1:21" x14ac:dyDescent="0.2">
      <c r="A56" s="16" t="s">
        <v>11</v>
      </c>
      <c r="B56">
        <v>4</v>
      </c>
      <c r="C56">
        <v>70.049661829000001</v>
      </c>
      <c r="D56">
        <v>21052</v>
      </c>
      <c r="E56">
        <v>92.095799999999997</v>
      </c>
      <c r="F56">
        <v>56.0944</v>
      </c>
      <c r="G56">
        <v>71.183000000000007</v>
      </c>
      <c r="H56">
        <v>28.817</v>
      </c>
      <c r="I56">
        <v>105</v>
      </c>
      <c r="J56">
        <v>100</v>
      </c>
      <c r="K56">
        <v>100</v>
      </c>
      <c r="L56">
        <v>100</v>
      </c>
      <c r="M56">
        <v>111663.99705599999</v>
      </c>
      <c r="N56">
        <v>19407.194696999999</v>
      </c>
      <c r="O56">
        <v>91989.219568999993</v>
      </c>
      <c r="P56">
        <v>267.58278999999999</v>
      </c>
      <c r="Q56">
        <v>272.43318900000003</v>
      </c>
      <c r="R56">
        <v>1000</v>
      </c>
      <c r="S56">
        <v>10</v>
      </c>
      <c r="T56">
        <v>0.99</v>
      </c>
      <c r="U56">
        <v>0.60908749367506443</v>
      </c>
    </row>
    <row r="57" spans="1:21" x14ac:dyDescent="0.2">
      <c r="A57" s="16" t="s">
        <v>11</v>
      </c>
      <c r="B57">
        <v>4</v>
      </c>
      <c r="C57">
        <v>69.313500536999996</v>
      </c>
      <c r="D57">
        <v>21052</v>
      </c>
      <c r="E57">
        <v>92.095799999999997</v>
      </c>
      <c r="F57">
        <v>55.956699999999998</v>
      </c>
      <c r="G57">
        <v>71.485600000000005</v>
      </c>
      <c r="H57">
        <v>28.514399999999998</v>
      </c>
      <c r="I57">
        <v>105</v>
      </c>
      <c r="J57">
        <v>100</v>
      </c>
      <c r="K57">
        <v>100</v>
      </c>
      <c r="L57">
        <v>100</v>
      </c>
      <c r="M57">
        <v>111685.147707</v>
      </c>
      <c r="N57">
        <v>19407.194696999999</v>
      </c>
      <c r="O57">
        <v>92010.234809999994</v>
      </c>
      <c r="P57">
        <v>267.71820000000002</v>
      </c>
      <c r="Q57">
        <v>271.97769799999998</v>
      </c>
      <c r="R57">
        <v>1000</v>
      </c>
      <c r="S57">
        <v>10</v>
      </c>
      <c r="T57">
        <v>0.99</v>
      </c>
      <c r="U57">
        <v>0.60759231148434567</v>
      </c>
    </row>
    <row r="58" spans="1:21" x14ac:dyDescent="0.2">
      <c r="A58" s="16" t="s">
        <v>11</v>
      </c>
      <c r="B58">
        <v>4</v>
      </c>
      <c r="C58">
        <v>70.016254586000002</v>
      </c>
      <c r="D58">
        <v>21052</v>
      </c>
      <c r="E58">
        <v>92.095799999999997</v>
      </c>
      <c r="F58">
        <v>56.004199999999997</v>
      </c>
      <c r="G58">
        <v>71.246799999999993</v>
      </c>
      <c r="H58">
        <v>28.7532</v>
      </c>
      <c r="I58">
        <v>105</v>
      </c>
      <c r="J58">
        <v>100</v>
      </c>
      <c r="K58">
        <v>100</v>
      </c>
      <c r="L58">
        <v>100</v>
      </c>
      <c r="M58">
        <v>112119.87299600001</v>
      </c>
      <c r="N58">
        <v>19407.194696999999</v>
      </c>
      <c r="O58">
        <v>92445.330499000003</v>
      </c>
      <c r="P58">
        <v>267.34780000000001</v>
      </c>
      <c r="Q58">
        <v>272.132724</v>
      </c>
      <c r="R58">
        <v>1000</v>
      </c>
      <c r="S58">
        <v>10</v>
      </c>
      <c r="T58">
        <v>0.99</v>
      </c>
      <c r="U58">
        <v>0.60810807876146356</v>
      </c>
    </row>
    <row r="59" spans="1:21" x14ac:dyDescent="0.2">
      <c r="A59" s="16" t="s">
        <v>11</v>
      </c>
      <c r="B59">
        <v>4</v>
      </c>
      <c r="C59">
        <v>69.957334881999998</v>
      </c>
      <c r="D59">
        <v>21052</v>
      </c>
      <c r="E59">
        <v>92.095799999999997</v>
      </c>
      <c r="F59">
        <v>56.312899999999999</v>
      </c>
      <c r="G59">
        <v>70.856200000000001</v>
      </c>
      <c r="H59">
        <v>29.143799999999999</v>
      </c>
      <c r="I59">
        <v>105</v>
      </c>
      <c r="J59">
        <v>100</v>
      </c>
      <c r="K59">
        <v>100</v>
      </c>
      <c r="L59">
        <v>100</v>
      </c>
      <c r="M59">
        <v>111211.204736</v>
      </c>
      <c r="N59">
        <v>19407.194696999999</v>
      </c>
      <c r="O59">
        <v>91535.981939000005</v>
      </c>
      <c r="P59">
        <v>268.02809999999999</v>
      </c>
      <c r="Q59">
        <v>273.78842200000003</v>
      </c>
      <c r="R59">
        <v>1000</v>
      </c>
      <c r="S59">
        <v>10</v>
      </c>
      <c r="T59">
        <v>0.99</v>
      </c>
      <c r="U59">
        <v>0.61146002314980707</v>
      </c>
    </row>
    <row r="60" spans="1:21" x14ac:dyDescent="0.2">
      <c r="A60" s="16" t="s">
        <v>11</v>
      </c>
      <c r="B60">
        <v>4</v>
      </c>
      <c r="C60">
        <v>70.665244603000005</v>
      </c>
      <c r="D60">
        <v>21052</v>
      </c>
      <c r="E60">
        <v>92.095799999999997</v>
      </c>
      <c r="F60">
        <v>56.027900000000002</v>
      </c>
      <c r="G60">
        <v>71.174199999999999</v>
      </c>
      <c r="H60">
        <v>28.825800000000001</v>
      </c>
      <c r="I60">
        <v>105</v>
      </c>
      <c r="J60">
        <v>100</v>
      </c>
      <c r="K60">
        <v>100</v>
      </c>
      <c r="L60">
        <v>100</v>
      </c>
      <c r="M60">
        <v>112061.80940500001</v>
      </c>
      <c r="N60">
        <v>19407.194696999999</v>
      </c>
      <c r="O60">
        <v>92387.286968</v>
      </c>
      <c r="P60">
        <v>267.32774000000001</v>
      </c>
      <c r="Q60">
        <v>272.56755500000003</v>
      </c>
      <c r="R60">
        <v>1000</v>
      </c>
      <c r="S60">
        <v>10</v>
      </c>
      <c r="T60">
        <v>0.99</v>
      </c>
      <c r="U60">
        <v>0.60836541948709932</v>
      </c>
    </row>
    <row r="61" spans="1:21" x14ac:dyDescent="0.2">
      <c r="A61" s="16" t="s">
        <v>11</v>
      </c>
      <c r="B61">
        <v>4</v>
      </c>
      <c r="C61">
        <v>70.284221599000006</v>
      </c>
      <c r="D61">
        <v>21052</v>
      </c>
      <c r="E61">
        <v>92.095799999999997</v>
      </c>
      <c r="F61">
        <v>55.866399999999999</v>
      </c>
      <c r="G61">
        <v>71.703100000000006</v>
      </c>
      <c r="H61">
        <v>28.296900000000001</v>
      </c>
      <c r="I61">
        <v>105</v>
      </c>
      <c r="J61">
        <v>100</v>
      </c>
      <c r="K61">
        <v>100</v>
      </c>
      <c r="L61">
        <v>100</v>
      </c>
      <c r="M61">
        <v>112116.56713700001</v>
      </c>
      <c r="N61">
        <v>19407.194696999999</v>
      </c>
      <c r="O61">
        <v>92441.865810000003</v>
      </c>
      <c r="P61">
        <v>267.50662999999997</v>
      </c>
      <c r="Q61">
        <v>271.104691</v>
      </c>
      <c r="R61">
        <v>1000</v>
      </c>
      <c r="S61">
        <v>10</v>
      </c>
      <c r="T61">
        <v>0.99</v>
      </c>
      <c r="U61">
        <v>0.60661181074489823</v>
      </c>
    </row>
    <row r="62" spans="1:21" x14ac:dyDescent="0.2">
      <c r="A62" s="16" t="s">
        <v>11</v>
      </c>
      <c r="B62">
        <v>4</v>
      </c>
      <c r="C62">
        <v>70.089812250999998</v>
      </c>
      <c r="D62">
        <v>21052</v>
      </c>
      <c r="E62">
        <v>92.095799999999997</v>
      </c>
      <c r="F62">
        <v>55.823700000000002</v>
      </c>
      <c r="G62">
        <v>71.1113</v>
      </c>
      <c r="H62">
        <v>28.8887</v>
      </c>
      <c r="I62">
        <v>105</v>
      </c>
      <c r="J62">
        <v>100</v>
      </c>
      <c r="K62">
        <v>100</v>
      </c>
      <c r="L62">
        <v>100</v>
      </c>
      <c r="M62">
        <v>112384.02914499999</v>
      </c>
      <c r="N62">
        <v>19407.194696999999</v>
      </c>
      <c r="O62">
        <v>92708.906017999994</v>
      </c>
      <c r="P62">
        <v>267.92842999999999</v>
      </c>
      <c r="Q62">
        <v>272.46875799999998</v>
      </c>
      <c r="R62">
        <v>1000</v>
      </c>
      <c r="S62">
        <v>10</v>
      </c>
      <c r="T62">
        <v>0.99</v>
      </c>
      <c r="U62">
        <v>0.60614816310841546</v>
      </c>
    </row>
    <row r="63" spans="1:21" x14ac:dyDescent="0.2">
      <c r="A63" s="16" t="s">
        <v>11</v>
      </c>
      <c r="B63">
        <v>4</v>
      </c>
      <c r="C63">
        <v>70.528821266999998</v>
      </c>
      <c r="D63">
        <v>21052</v>
      </c>
      <c r="E63">
        <v>92.095799999999997</v>
      </c>
      <c r="F63">
        <v>56.498199999999997</v>
      </c>
      <c r="G63">
        <v>71.338499999999996</v>
      </c>
      <c r="H63">
        <v>28.6615</v>
      </c>
      <c r="I63">
        <v>105</v>
      </c>
      <c r="J63">
        <v>100</v>
      </c>
      <c r="K63">
        <v>100</v>
      </c>
      <c r="L63">
        <v>100</v>
      </c>
      <c r="M63">
        <v>111047.71060599999</v>
      </c>
      <c r="N63">
        <v>19407.194696999999</v>
      </c>
      <c r="O63">
        <v>91372.857139</v>
      </c>
      <c r="P63">
        <v>267.65877</v>
      </c>
      <c r="Q63">
        <v>272.43460700000003</v>
      </c>
      <c r="R63">
        <v>1000</v>
      </c>
      <c r="S63">
        <v>10</v>
      </c>
      <c r="T63">
        <v>0.99</v>
      </c>
      <c r="U63">
        <v>0.6134720584434904</v>
      </c>
    </row>
    <row r="64" spans="1:21" x14ac:dyDescent="0.2">
      <c r="A64" s="16" t="s">
        <v>11</v>
      </c>
      <c r="B64">
        <v>4</v>
      </c>
      <c r="C64">
        <v>69.433368193000007</v>
      </c>
      <c r="D64">
        <v>21052</v>
      </c>
      <c r="E64">
        <v>92.095799999999997</v>
      </c>
      <c r="F64">
        <v>55.685899999999997</v>
      </c>
      <c r="G64">
        <v>71.398099999999999</v>
      </c>
      <c r="H64">
        <v>28.601900000000001</v>
      </c>
      <c r="I64">
        <v>105</v>
      </c>
      <c r="J64">
        <v>100</v>
      </c>
      <c r="K64">
        <v>100</v>
      </c>
      <c r="L64">
        <v>100</v>
      </c>
      <c r="M64">
        <v>111948.894575</v>
      </c>
      <c r="N64">
        <v>19407.194696999999</v>
      </c>
      <c r="O64">
        <v>92274.112697999997</v>
      </c>
      <c r="P64">
        <v>267.58717999999999</v>
      </c>
      <c r="Q64">
        <v>271.80311399999999</v>
      </c>
      <c r="R64">
        <v>1000</v>
      </c>
      <c r="S64">
        <v>10</v>
      </c>
      <c r="T64">
        <v>0.99</v>
      </c>
      <c r="U64">
        <v>0.60465189509185002</v>
      </c>
    </row>
    <row r="65" spans="1:21" x14ac:dyDescent="0.2">
      <c r="A65" s="16" t="s">
        <v>11</v>
      </c>
      <c r="B65">
        <v>4</v>
      </c>
      <c r="C65">
        <v>69.958425083999998</v>
      </c>
      <c r="D65">
        <v>21052</v>
      </c>
      <c r="E65">
        <v>92.095799999999997</v>
      </c>
      <c r="F65">
        <v>56.118200000000002</v>
      </c>
      <c r="G65">
        <v>71.009</v>
      </c>
      <c r="H65">
        <v>28.991</v>
      </c>
      <c r="I65">
        <v>105</v>
      </c>
      <c r="J65">
        <v>100</v>
      </c>
      <c r="K65">
        <v>100</v>
      </c>
      <c r="L65">
        <v>100</v>
      </c>
      <c r="M65">
        <v>111521.56110399999</v>
      </c>
      <c r="N65">
        <v>19407.194696999999</v>
      </c>
      <c r="O65">
        <v>91846.890987000006</v>
      </c>
      <c r="P65">
        <v>267.47541999999999</v>
      </c>
      <c r="Q65">
        <v>272.787576</v>
      </c>
      <c r="R65">
        <v>1000</v>
      </c>
      <c r="S65">
        <v>10</v>
      </c>
      <c r="T65">
        <v>0.99</v>
      </c>
      <c r="U65">
        <v>0.60934592022654677</v>
      </c>
    </row>
    <row r="66" spans="1:21" x14ac:dyDescent="0.2">
      <c r="A66" s="16" t="s">
        <v>11</v>
      </c>
      <c r="B66">
        <v>4</v>
      </c>
      <c r="C66">
        <v>69.820875323999999</v>
      </c>
      <c r="D66">
        <v>21052</v>
      </c>
      <c r="E66">
        <v>92.095799999999997</v>
      </c>
      <c r="F66">
        <v>55.942399999999999</v>
      </c>
      <c r="G66">
        <v>71.028300000000002</v>
      </c>
      <c r="H66">
        <v>28.971699999999998</v>
      </c>
      <c r="I66">
        <v>105</v>
      </c>
      <c r="J66">
        <v>100</v>
      </c>
      <c r="K66">
        <v>100</v>
      </c>
      <c r="L66">
        <v>100</v>
      </c>
      <c r="M66">
        <v>111984.567312</v>
      </c>
      <c r="N66">
        <v>19407.194696999999</v>
      </c>
      <c r="O66">
        <v>92309.992075000002</v>
      </c>
      <c r="P66">
        <v>267.38054</v>
      </c>
      <c r="Q66">
        <v>272.76440200000002</v>
      </c>
      <c r="R66">
        <v>1000</v>
      </c>
      <c r="S66">
        <v>10</v>
      </c>
      <c r="T66">
        <v>0.99</v>
      </c>
      <c r="U66">
        <v>0.607437038388287</v>
      </c>
    </row>
    <row r="67" spans="1:21" x14ac:dyDescent="0.2">
      <c r="A67" s="16" t="s">
        <v>11</v>
      </c>
      <c r="B67">
        <v>4</v>
      </c>
      <c r="C67">
        <v>69.689942783999996</v>
      </c>
      <c r="D67">
        <v>21052</v>
      </c>
      <c r="E67">
        <v>92.095799999999997</v>
      </c>
      <c r="F67">
        <v>55.799900000000001</v>
      </c>
      <c r="G67">
        <v>70.945800000000006</v>
      </c>
      <c r="H67">
        <v>29.054200000000002</v>
      </c>
      <c r="I67">
        <v>105</v>
      </c>
      <c r="J67">
        <v>100</v>
      </c>
      <c r="K67">
        <v>100</v>
      </c>
      <c r="L67">
        <v>100</v>
      </c>
      <c r="M67">
        <v>112282.859623</v>
      </c>
      <c r="N67">
        <v>19407.194696999999</v>
      </c>
      <c r="O67">
        <v>92608.148755999995</v>
      </c>
      <c r="P67">
        <v>267.51616999999999</v>
      </c>
      <c r="Q67">
        <v>273.18911300000002</v>
      </c>
      <c r="R67">
        <v>1000</v>
      </c>
      <c r="S67">
        <v>10</v>
      </c>
      <c r="T67">
        <v>0.99</v>
      </c>
      <c r="U67">
        <v>0.60588973655693312</v>
      </c>
    </row>
    <row r="68" spans="1:21" x14ac:dyDescent="0.2">
      <c r="A68" s="16" t="s">
        <v>11</v>
      </c>
      <c r="B68">
        <v>4</v>
      </c>
      <c r="C68">
        <v>69.900009823999994</v>
      </c>
      <c r="D68">
        <v>21052</v>
      </c>
      <c r="E68">
        <v>92.095799999999997</v>
      </c>
      <c r="F68">
        <v>55.842700000000001</v>
      </c>
      <c r="G68">
        <v>71.435900000000004</v>
      </c>
      <c r="H68">
        <v>28.5641</v>
      </c>
      <c r="I68">
        <v>105</v>
      </c>
      <c r="J68">
        <v>100</v>
      </c>
      <c r="K68">
        <v>100</v>
      </c>
      <c r="L68">
        <v>100</v>
      </c>
      <c r="M68">
        <v>112417.973618</v>
      </c>
      <c r="N68">
        <v>19407.194696999999</v>
      </c>
      <c r="O68">
        <v>92743.395380999995</v>
      </c>
      <c r="P68">
        <v>267.38353999999998</v>
      </c>
      <c r="Q68">
        <v>271.72696500000001</v>
      </c>
      <c r="R68">
        <v>1000</v>
      </c>
      <c r="S68">
        <v>10</v>
      </c>
      <c r="T68">
        <v>0.99</v>
      </c>
      <c r="U68">
        <v>0.60635447001926257</v>
      </c>
    </row>
    <row r="69" spans="1:21" x14ac:dyDescent="0.2">
      <c r="A69" s="16" t="s">
        <v>11</v>
      </c>
      <c r="B69">
        <v>4</v>
      </c>
      <c r="C69">
        <v>70.188285879000006</v>
      </c>
      <c r="D69">
        <v>21052</v>
      </c>
      <c r="E69">
        <v>92.095799999999997</v>
      </c>
      <c r="F69">
        <v>56.122900000000001</v>
      </c>
      <c r="G69">
        <v>71.1892</v>
      </c>
      <c r="H69">
        <v>28.8108</v>
      </c>
      <c r="I69">
        <v>105</v>
      </c>
      <c r="J69">
        <v>100</v>
      </c>
      <c r="K69">
        <v>100</v>
      </c>
      <c r="L69">
        <v>100</v>
      </c>
      <c r="M69">
        <v>111865.900052</v>
      </c>
      <c r="N69">
        <v>19407.194696999999</v>
      </c>
      <c r="O69">
        <v>92191.222544999997</v>
      </c>
      <c r="P69">
        <v>267.48280999999997</v>
      </c>
      <c r="Q69">
        <v>272.25339000000002</v>
      </c>
      <c r="R69">
        <v>1000</v>
      </c>
      <c r="S69">
        <v>10</v>
      </c>
      <c r="T69">
        <v>0.99</v>
      </c>
      <c r="U69">
        <v>0.6093969540413352</v>
      </c>
    </row>
    <row r="70" spans="1:21" x14ac:dyDescent="0.2">
      <c r="A70" s="16" t="s">
        <v>11</v>
      </c>
      <c r="B70">
        <v>4</v>
      </c>
      <c r="C70">
        <v>71.371027302000002</v>
      </c>
      <c r="D70">
        <v>21052</v>
      </c>
      <c r="E70">
        <v>92.095799999999997</v>
      </c>
      <c r="F70">
        <v>56.284399999999998</v>
      </c>
      <c r="G70">
        <v>70.968000000000004</v>
      </c>
      <c r="H70">
        <v>29.032</v>
      </c>
      <c r="I70">
        <v>105</v>
      </c>
      <c r="J70">
        <v>100</v>
      </c>
      <c r="K70">
        <v>100</v>
      </c>
      <c r="L70">
        <v>100</v>
      </c>
      <c r="M70">
        <v>111426.392463</v>
      </c>
      <c r="N70">
        <v>19407.194696999999</v>
      </c>
      <c r="O70">
        <v>91752.140366000007</v>
      </c>
      <c r="P70">
        <v>267.05739999999997</v>
      </c>
      <c r="Q70">
        <v>272.955872</v>
      </c>
      <c r="R70">
        <v>1000</v>
      </c>
      <c r="S70">
        <v>10</v>
      </c>
      <c r="T70">
        <v>0.99</v>
      </c>
      <c r="U70">
        <v>0.6111505627835363</v>
      </c>
    </row>
    <row r="71" spans="1:21" x14ac:dyDescent="0.2">
      <c r="A71" s="16" t="s">
        <v>11</v>
      </c>
      <c r="B71">
        <v>4</v>
      </c>
      <c r="C71">
        <v>70.597012153999998</v>
      </c>
      <c r="D71">
        <v>21052</v>
      </c>
      <c r="E71">
        <v>92.095799999999997</v>
      </c>
      <c r="F71">
        <v>56.350900000000003</v>
      </c>
      <c r="G71">
        <v>71.305700000000002</v>
      </c>
      <c r="H71">
        <v>28.694299999999998</v>
      </c>
      <c r="I71">
        <v>105</v>
      </c>
      <c r="J71">
        <v>100</v>
      </c>
      <c r="K71">
        <v>100</v>
      </c>
      <c r="L71">
        <v>100</v>
      </c>
      <c r="M71">
        <v>111311.080158</v>
      </c>
      <c r="N71">
        <v>19407.194696999999</v>
      </c>
      <c r="O71">
        <v>91636.894480999996</v>
      </c>
      <c r="P71">
        <v>266.99097999999998</v>
      </c>
      <c r="Q71">
        <v>272.04810600000002</v>
      </c>
      <c r="R71">
        <v>1000</v>
      </c>
      <c r="S71">
        <v>10</v>
      </c>
      <c r="T71">
        <v>0.99</v>
      </c>
      <c r="U71">
        <v>0.61187263697150152</v>
      </c>
    </row>
    <row r="72" spans="1:21" x14ac:dyDescent="0.2">
      <c r="A72" s="16" t="s">
        <v>10</v>
      </c>
      <c r="B72">
        <v>4</v>
      </c>
      <c r="C72">
        <v>75.094688266000006</v>
      </c>
      <c r="D72">
        <v>42304</v>
      </c>
      <c r="E72">
        <v>92.052800000000005</v>
      </c>
      <c r="F72">
        <v>51.902900000000002</v>
      </c>
      <c r="G72">
        <v>74.441000000000003</v>
      </c>
      <c r="H72">
        <v>25.559000000000001</v>
      </c>
      <c r="I72">
        <v>105</v>
      </c>
      <c r="J72">
        <v>100</v>
      </c>
      <c r="K72">
        <v>100</v>
      </c>
      <c r="L72">
        <v>100</v>
      </c>
      <c r="M72">
        <v>223228.80794500001</v>
      </c>
      <c r="N72">
        <v>39097.033726000001</v>
      </c>
      <c r="O72">
        <v>183594.83399899999</v>
      </c>
      <c r="P72">
        <v>536.94021999999995</v>
      </c>
      <c r="Q72">
        <v>265.02564699999999</v>
      </c>
      <c r="R72">
        <v>2000</v>
      </c>
      <c r="S72">
        <v>10</v>
      </c>
      <c r="T72">
        <v>0.99</v>
      </c>
      <c r="U72">
        <v>0.56383836233118378</v>
      </c>
    </row>
    <row r="73" spans="1:21" x14ac:dyDescent="0.2">
      <c r="A73" s="16" t="s">
        <v>10</v>
      </c>
      <c r="B73">
        <v>4</v>
      </c>
      <c r="C73">
        <v>76.797184920999996</v>
      </c>
      <c r="D73">
        <v>42304</v>
      </c>
      <c r="E73">
        <v>92.052800000000005</v>
      </c>
      <c r="F73">
        <v>51.988</v>
      </c>
      <c r="G73">
        <v>74.4328</v>
      </c>
      <c r="H73">
        <v>25.5672</v>
      </c>
      <c r="I73">
        <v>105</v>
      </c>
      <c r="J73">
        <v>100</v>
      </c>
      <c r="K73">
        <v>100</v>
      </c>
      <c r="L73">
        <v>100</v>
      </c>
      <c r="M73">
        <v>223397.96701399999</v>
      </c>
      <c r="N73">
        <v>39097.033726000001</v>
      </c>
      <c r="O73">
        <v>183764.09467799999</v>
      </c>
      <c r="P73">
        <v>536.83861000000002</v>
      </c>
      <c r="Q73">
        <v>264.40412800000001</v>
      </c>
      <c r="R73">
        <v>2000</v>
      </c>
      <c r="S73">
        <v>10</v>
      </c>
      <c r="T73">
        <v>0.99</v>
      </c>
      <c r="U73">
        <v>0.56476283176611686</v>
      </c>
    </row>
    <row r="74" spans="1:21" x14ac:dyDescent="0.2">
      <c r="A74" s="16" t="s">
        <v>10</v>
      </c>
      <c r="B74">
        <v>4</v>
      </c>
      <c r="C74">
        <v>75.622394467000007</v>
      </c>
      <c r="D74">
        <v>42304</v>
      </c>
      <c r="E74">
        <v>92.052800000000005</v>
      </c>
      <c r="F74">
        <v>51.834299999999999</v>
      </c>
      <c r="G74">
        <v>74.115300000000005</v>
      </c>
      <c r="H74">
        <v>25.884699999999999</v>
      </c>
      <c r="I74">
        <v>105</v>
      </c>
      <c r="J74">
        <v>100</v>
      </c>
      <c r="K74">
        <v>100</v>
      </c>
      <c r="L74">
        <v>100</v>
      </c>
      <c r="M74">
        <v>224471.24327100001</v>
      </c>
      <c r="N74">
        <v>39097.033726000001</v>
      </c>
      <c r="O74">
        <v>184837.71788499999</v>
      </c>
      <c r="P74">
        <v>536.49166000000002</v>
      </c>
      <c r="Q74">
        <v>265.5025</v>
      </c>
      <c r="R74">
        <v>2000</v>
      </c>
      <c r="S74">
        <v>10</v>
      </c>
      <c r="T74">
        <v>0.99</v>
      </c>
      <c r="U74">
        <v>0.56309313785132009</v>
      </c>
    </row>
    <row r="75" spans="1:21" x14ac:dyDescent="0.2">
      <c r="A75" s="16" t="s">
        <v>10</v>
      </c>
      <c r="B75">
        <v>4</v>
      </c>
      <c r="C75">
        <v>75.731782022999994</v>
      </c>
      <c r="D75">
        <v>42304</v>
      </c>
      <c r="E75">
        <v>92.052800000000005</v>
      </c>
      <c r="F75">
        <v>52.0471</v>
      </c>
      <c r="G75">
        <v>74.4482</v>
      </c>
      <c r="H75">
        <v>25.5518</v>
      </c>
      <c r="I75">
        <v>105</v>
      </c>
      <c r="J75">
        <v>100</v>
      </c>
      <c r="K75">
        <v>100</v>
      </c>
      <c r="L75">
        <v>100</v>
      </c>
      <c r="M75">
        <v>223600.1539</v>
      </c>
      <c r="N75">
        <v>39097.033726000001</v>
      </c>
      <c r="O75">
        <v>183966.015724</v>
      </c>
      <c r="P75">
        <v>537.10445000000004</v>
      </c>
      <c r="Q75">
        <v>264.62538799999999</v>
      </c>
      <c r="R75">
        <v>2000</v>
      </c>
      <c r="S75">
        <v>10</v>
      </c>
      <c r="T75">
        <v>0.99</v>
      </c>
      <c r="U75">
        <v>0.56540485460518308</v>
      </c>
    </row>
    <row r="76" spans="1:21" x14ac:dyDescent="0.2">
      <c r="A76" s="16" t="s">
        <v>10</v>
      </c>
      <c r="B76">
        <v>4</v>
      </c>
      <c r="C76">
        <v>75.335977712000002</v>
      </c>
      <c r="D76">
        <v>42304</v>
      </c>
      <c r="E76">
        <v>92.052800000000005</v>
      </c>
      <c r="F76">
        <v>51.926499999999997</v>
      </c>
      <c r="G76">
        <v>74.256799999999998</v>
      </c>
      <c r="H76">
        <v>25.743200000000002</v>
      </c>
      <c r="I76">
        <v>105</v>
      </c>
      <c r="J76">
        <v>100</v>
      </c>
      <c r="K76">
        <v>100</v>
      </c>
      <c r="L76">
        <v>100</v>
      </c>
      <c r="M76">
        <v>223424.80825999999</v>
      </c>
      <c r="N76">
        <v>39097.033726000001</v>
      </c>
      <c r="O76">
        <v>183790.52681400001</v>
      </c>
      <c r="P76">
        <v>537.24771999999996</v>
      </c>
      <c r="Q76">
        <v>265.11672800000002</v>
      </c>
      <c r="R76">
        <v>2000</v>
      </c>
      <c r="S76">
        <v>10</v>
      </c>
      <c r="T76">
        <v>0.99</v>
      </c>
      <c r="U76">
        <v>0.56409473693358592</v>
      </c>
    </row>
    <row r="77" spans="1:21" x14ac:dyDescent="0.2">
      <c r="A77" s="16" t="s">
        <v>10</v>
      </c>
      <c r="B77">
        <v>4</v>
      </c>
      <c r="C77">
        <v>76.620063719000001</v>
      </c>
      <c r="D77">
        <v>42304</v>
      </c>
      <c r="E77">
        <v>92.052800000000005</v>
      </c>
      <c r="F77">
        <v>51.775199999999998</v>
      </c>
      <c r="G77">
        <v>74.012699999999995</v>
      </c>
      <c r="H77">
        <v>25.987300000000001</v>
      </c>
      <c r="I77">
        <v>105</v>
      </c>
      <c r="J77">
        <v>100</v>
      </c>
      <c r="K77">
        <v>100</v>
      </c>
      <c r="L77">
        <v>100</v>
      </c>
      <c r="M77">
        <v>224143.642322</v>
      </c>
      <c r="N77">
        <v>39097.033726000001</v>
      </c>
      <c r="O77">
        <v>184510.67314599999</v>
      </c>
      <c r="P77">
        <v>535.93544999999995</v>
      </c>
      <c r="Q77">
        <v>265.73841800000002</v>
      </c>
      <c r="R77">
        <v>2000</v>
      </c>
      <c r="S77">
        <v>10</v>
      </c>
      <c r="T77">
        <v>0.99</v>
      </c>
      <c r="U77">
        <v>0.56245111501225376</v>
      </c>
    </row>
    <row r="78" spans="1:21" x14ac:dyDescent="0.2">
      <c r="A78" s="16" t="s">
        <v>10</v>
      </c>
      <c r="B78">
        <v>4</v>
      </c>
      <c r="C78">
        <v>75.142677539000005</v>
      </c>
      <c r="D78">
        <v>42304</v>
      </c>
      <c r="E78">
        <v>92.052800000000005</v>
      </c>
      <c r="F78">
        <v>51.619199999999999</v>
      </c>
      <c r="G78">
        <v>74.153999999999996</v>
      </c>
      <c r="H78">
        <v>25.846</v>
      </c>
      <c r="I78">
        <v>105</v>
      </c>
      <c r="J78">
        <v>100</v>
      </c>
      <c r="K78">
        <v>100</v>
      </c>
      <c r="L78">
        <v>100</v>
      </c>
      <c r="M78">
        <v>225082.914109</v>
      </c>
      <c r="N78">
        <v>39097.033726000001</v>
      </c>
      <c r="O78">
        <v>185449.01374299999</v>
      </c>
      <c r="P78">
        <v>536.86663999999996</v>
      </c>
      <c r="Q78">
        <v>265.29796800000003</v>
      </c>
      <c r="R78">
        <v>2000</v>
      </c>
      <c r="S78">
        <v>10</v>
      </c>
      <c r="T78">
        <v>0.99</v>
      </c>
      <c r="U78">
        <v>0.56075643543705345</v>
      </c>
    </row>
    <row r="79" spans="1:21" x14ac:dyDescent="0.2">
      <c r="A79" s="16" t="s">
        <v>10</v>
      </c>
      <c r="B79">
        <v>4</v>
      </c>
      <c r="C79">
        <v>76.318676971000002</v>
      </c>
      <c r="D79">
        <v>42304</v>
      </c>
      <c r="E79">
        <v>92.052800000000005</v>
      </c>
      <c r="F79">
        <v>51.7776</v>
      </c>
      <c r="G79">
        <v>74.534300000000002</v>
      </c>
      <c r="H79">
        <v>25.465699999999998</v>
      </c>
      <c r="I79">
        <v>105</v>
      </c>
      <c r="J79">
        <v>100</v>
      </c>
      <c r="K79">
        <v>100</v>
      </c>
      <c r="L79">
        <v>100</v>
      </c>
      <c r="M79">
        <v>224175.48743199999</v>
      </c>
      <c r="N79">
        <v>39097.033726000001</v>
      </c>
      <c r="O79">
        <v>184541.610296</v>
      </c>
      <c r="P79">
        <v>536.84340999999995</v>
      </c>
      <c r="Q79">
        <v>264.32053400000001</v>
      </c>
      <c r="R79">
        <v>2000</v>
      </c>
      <c r="S79">
        <v>10</v>
      </c>
      <c r="T79">
        <v>0.99</v>
      </c>
      <c r="U79">
        <v>0.56247718700571847</v>
      </c>
    </row>
    <row r="80" spans="1:21" x14ac:dyDescent="0.2">
      <c r="A80" s="16" t="s">
        <v>10</v>
      </c>
      <c r="B80">
        <v>4</v>
      </c>
      <c r="C80">
        <v>76.578287629000002</v>
      </c>
      <c r="D80">
        <v>42304</v>
      </c>
      <c r="E80">
        <v>92.052800000000005</v>
      </c>
      <c r="F80">
        <v>52.132199999999997</v>
      </c>
      <c r="G80">
        <v>74.226900000000001</v>
      </c>
      <c r="H80">
        <v>25.773099999999999</v>
      </c>
      <c r="I80">
        <v>105</v>
      </c>
      <c r="J80">
        <v>100</v>
      </c>
      <c r="K80">
        <v>100</v>
      </c>
      <c r="L80">
        <v>100</v>
      </c>
      <c r="M80">
        <v>223029.25080899999</v>
      </c>
      <c r="N80">
        <v>39097.033726000001</v>
      </c>
      <c r="O80">
        <v>183396.27855300001</v>
      </c>
      <c r="P80">
        <v>535.93853000000001</v>
      </c>
      <c r="Q80">
        <v>265.58682299999998</v>
      </c>
      <c r="R80">
        <v>2000</v>
      </c>
      <c r="S80">
        <v>10</v>
      </c>
      <c r="T80">
        <v>0.99</v>
      </c>
      <c r="U80">
        <v>0.56632932404011604</v>
      </c>
    </row>
    <row r="81" spans="1:21" x14ac:dyDescent="0.2">
      <c r="A81" s="16" t="s">
        <v>10</v>
      </c>
      <c r="B81">
        <v>4</v>
      </c>
      <c r="C81">
        <v>76.241434370999997</v>
      </c>
      <c r="D81">
        <v>42304</v>
      </c>
      <c r="E81">
        <v>92.052800000000005</v>
      </c>
      <c r="F81">
        <v>52.058900000000001</v>
      </c>
      <c r="G81">
        <v>73.954499999999996</v>
      </c>
      <c r="H81">
        <v>26.045500000000001</v>
      </c>
      <c r="I81">
        <v>105</v>
      </c>
      <c r="J81">
        <v>100</v>
      </c>
      <c r="K81">
        <v>100</v>
      </c>
      <c r="L81">
        <v>100</v>
      </c>
      <c r="M81">
        <v>223041.87561799999</v>
      </c>
      <c r="N81">
        <v>39097.033726000001</v>
      </c>
      <c r="O81">
        <v>183408.15711199999</v>
      </c>
      <c r="P81">
        <v>536.68478000000005</v>
      </c>
      <c r="Q81">
        <v>266.31453900000002</v>
      </c>
      <c r="R81">
        <v>2000</v>
      </c>
      <c r="S81">
        <v>10</v>
      </c>
      <c r="T81">
        <v>0.99</v>
      </c>
      <c r="U81">
        <v>0.56553304190638409</v>
      </c>
    </row>
    <row r="82" spans="1:21" x14ac:dyDescent="0.2">
      <c r="A82" s="16" t="s">
        <v>10</v>
      </c>
      <c r="B82">
        <v>4</v>
      </c>
      <c r="C82">
        <v>75.130020098000003</v>
      </c>
      <c r="D82">
        <v>42304</v>
      </c>
      <c r="E82">
        <v>92.052800000000005</v>
      </c>
      <c r="F82">
        <v>51.692500000000003</v>
      </c>
      <c r="G82">
        <v>74.465000000000003</v>
      </c>
      <c r="H82">
        <v>25.535</v>
      </c>
      <c r="I82">
        <v>105</v>
      </c>
      <c r="J82">
        <v>100</v>
      </c>
      <c r="K82">
        <v>100</v>
      </c>
      <c r="L82">
        <v>100</v>
      </c>
      <c r="M82">
        <v>224714.08472300001</v>
      </c>
      <c r="N82">
        <v>39097.033726000001</v>
      </c>
      <c r="O82">
        <v>185080.250707</v>
      </c>
      <c r="P82">
        <v>536.80029000000002</v>
      </c>
      <c r="Q82">
        <v>264.71481999999997</v>
      </c>
      <c r="R82">
        <v>2000</v>
      </c>
      <c r="S82">
        <v>10</v>
      </c>
      <c r="T82">
        <v>0.99</v>
      </c>
      <c r="U82">
        <v>0.56155271757078551</v>
      </c>
    </row>
    <row r="83" spans="1:21" x14ac:dyDescent="0.2">
      <c r="A83" s="16" t="s">
        <v>10</v>
      </c>
      <c r="B83">
        <v>4</v>
      </c>
      <c r="C83">
        <v>75.082424970999995</v>
      </c>
      <c r="D83">
        <v>42304</v>
      </c>
      <c r="E83">
        <v>92.052800000000005</v>
      </c>
      <c r="F83">
        <v>52.021099999999997</v>
      </c>
      <c r="G83">
        <v>74.203699999999998</v>
      </c>
      <c r="H83">
        <v>25.796299999999999</v>
      </c>
      <c r="I83">
        <v>105</v>
      </c>
      <c r="J83">
        <v>100</v>
      </c>
      <c r="K83">
        <v>100</v>
      </c>
      <c r="L83">
        <v>100</v>
      </c>
      <c r="M83">
        <v>223032.03249099999</v>
      </c>
      <c r="N83">
        <v>39097.033726000001</v>
      </c>
      <c r="O83">
        <v>183396.93939499999</v>
      </c>
      <c r="P83">
        <v>538.05936999999994</v>
      </c>
      <c r="Q83">
        <v>265.253467</v>
      </c>
      <c r="R83">
        <v>2000</v>
      </c>
      <c r="S83">
        <v>10</v>
      </c>
      <c r="T83">
        <v>0.99</v>
      </c>
      <c r="U83">
        <v>0.56512240800931635</v>
      </c>
    </row>
    <row r="84" spans="1:21" x14ac:dyDescent="0.2">
      <c r="A84" s="16" t="s">
        <v>10</v>
      </c>
      <c r="B84">
        <v>4</v>
      </c>
      <c r="C84">
        <v>75.290216603000005</v>
      </c>
      <c r="D84">
        <v>42304</v>
      </c>
      <c r="E84">
        <v>92.052800000000005</v>
      </c>
      <c r="F84">
        <v>51.735100000000003</v>
      </c>
      <c r="G84">
        <v>74.568200000000004</v>
      </c>
      <c r="H84">
        <v>25.431799999999999</v>
      </c>
      <c r="I84">
        <v>105</v>
      </c>
      <c r="J84">
        <v>100</v>
      </c>
      <c r="K84">
        <v>100</v>
      </c>
      <c r="L84">
        <v>100</v>
      </c>
      <c r="M84">
        <v>224231.65774299999</v>
      </c>
      <c r="N84">
        <v>39097.033726000001</v>
      </c>
      <c r="O84">
        <v>184597.963357</v>
      </c>
      <c r="P84">
        <v>536.66066000000001</v>
      </c>
      <c r="Q84">
        <v>264.35066</v>
      </c>
      <c r="R84">
        <v>2000</v>
      </c>
      <c r="S84">
        <v>10</v>
      </c>
      <c r="T84">
        <v>0.99</v>
      </c>
      <c r="U84">
        <v>0.56201549545478247</v>
      </c>
    </row>
    <row r="85" spans="1:21" x14ac:dyDescent="0.2">
      <c r="A85" s="16" t="s">
        <v>10</v>
      </c>
      <c r="B85">
        <v>4</v>
      </c>
      <c r="C85">
        <v>75.023676301999998</v>
      </c>
      <c r="D85">
        <v>42304</v>
      </c>
      <c r="E85">
        <v>92.052800000000005</v>
      </c>
      <c r="F85">
        <v>51.7256</v>
      </c>
      <c r="G85">
        <v>74.517899999999997</v>
      </c>
      <c r="H85">
        <v>25.482099999999999</v>
      </c>
      <c r="I85">
        <v>105</v>
      </c>
      <c r="J85">
        <v>100</v>
      </c>
      <c r="K85">
        <v>100</v>
      </c>
      <c r="L85">
        <v>100</v>
      </c>
      <c r="M85">
        <v>224235.589913</v>
      </c>
      <c r="N85">
        <v>39097.033726000001</v>
      </c>
      <c r="O85">
        <v>184601.557417</v>
      </c>
      <c r="P85">
        <v>536.99877000000004</v>
      </c>
      <c r="Q85">
        <v>264.39338400000003</v>
      </c>
      <c r="R85">
        <v>2000</v>
      </c>
      <c r="S85">
        <v>10</v>
      </c>
      <c r="T85">
        <v>0.99</v>
      </c>
      <c r="U85">
        <v>0.561912293813985</v>
      </c>
    </row>
    <row r="86" spans="1:21" x14ac:dyDescent="0.2">
      <c r="A86" s="16" t="s">
        <v>10</v>
      </c>
      <c r="B86">
        <v>4</v>
      </c>
      <c r="C86">
        <v>74.738622465999995</v>
      </c>
      <c r="D86">
        <v>42304</v>
      </c>
      <c r="E86">
        <v>92.052800000000005</v>
      </c>
      <c r="F86">
        <v>51.954900000000002</v>
      </c>
      <c r="G86">
        <v>74.671300000000002</v>
      </c>
      <c r="H86">
        <v>25.328700000000001</v>
      </c>
      <c r="I86">
        <v>105</v>
      </c>
      <c r="J86">
        <v>100</v>
      </c>
      <c r="K86">
        <v>100</v>
      </c>
      <c r="L86">
        <v>100</v>
      </c>
      <c r="M86">
        <v>223644.06056700001</v>
      </c>
      <c r="N86">
        <v>39097.033726000001</v>
      </c>
      <c r="O86">
        <v>184009.353191</v>
      </c>
      <c r="P86">
        <v>537.67364999999995</v>
      </c>
      <c r="Q86">
        <v>264.174418</v>
      </c>
      <c r="R86">
        <v>2000</v>
      </c>
      <c r="S86">
        <v>10</v>
      </c>
      <c r="T86">
        <v>0.99</v>
      </c>
      <c r="U86">
        <v>0.56440325552291726</v>
      </c>
    </row>
    <row r="87" spans="1:21" x14ac:dyDescent="0.2">
      <c r="A87" s="16" t="s">
        <v>10</v>
      </c>
      <c r="B87">
        <v>4</v>
      </c>
      <c r="C87">
        <v>76.625057740000003</v>
      </c>
      <c r="D87">
        <v>42304</v>
      </c>
      <c r="E87">
        <v>92.052800000000005</v>
      </c>
      <c r="F87">
        <v>52.082500000000003</v>
      </c>
      <c r="G87">
        <v>74.284000000000006</v>
      </c>
      <c r="H87">
        <v>25.716000000000001</v>
      </c>
      <c r="I87">
        <v>105</v>
      </c>
      <c r="J87">
        <v>100</v>
      </c>
      <c r="K87">
        <v>100</v>
      </c>
      <c r="L87">
        <v>100</v>
      </c>
      <c r="M87">
        <v>222946.34851700001</v>
      </c>
      <c r="N87">
        <v>39097.033726000001</v>
      </c>
      <c r="O87">
        <v>183313.04105100001</v>
      </c>
      <c r="P87">
        <v>536.27373999999998</v>
      </c>
      <c r="Q87">
        <v>265.133331</v>
      </c>
      <c r="R87">
        <v>2000</v>
      </c>
      <c r="S87">
        <v>10</v>
      </c>
      <c r="T87">
        <v>0.99</v>
      </c>
      <c r="U87">
        <v>0.56578941650878622</v>
      </c>
    </row>
    <row r="88" spans="1:21" x14ac:dyDescent="0.2">
      <c r="A88" s="16" t="s">
        <v>10</v>
      </c>
      <c r="B88">
        <v>4</v>
      </c>
      <c r="C88">
        <v>76.071390495000003</v>
      </c>
      <c r="D88">
        <v>42304</v>
      </c>
      <c r="E88">
        <v>92.052800000000005</v>
      </c>
      <c r="F88">
        <v>51.879300000000001</v>
      </c>
      <c r="G88">
        <v>74.219700000000003</v>
      </c>
      <c r="H88">
        <v>25.7803</v>
      </c>
      <c r="I88">
        <v>105</v>
      </c>
      <c r="J88">
        <v>100</v>
      </c>
      <c r="K88">
        <v>100</v>
      </c>
      <c r="L88">
        <v>100</v>
      </c>
      <c r="M88">
        <v>223708.413955</v>
      </c>
      <c r="N88">
        <v>39097.033726000001</v>
      </c>
      <c r="O88">
        <v>184075.363659</v>
      </c>
      <c r="P88">
        <v>536.01657</v>
      </c>
      <c r="Q88">
        <v>265.59833300000003</v>
      </c>
      <c r="R88">
        <v>2000</v>
      </c>
      <c r="S88">
        <v>10</v>
      </c>
      <c r="T88">
        <v>0.99</v>
      </c>
      <c r="U88">
        <v>0.56358198772878176</v>
      </c>
    </row>
    <row r="89" spans="1:21" x14ac:dyDescent="0.2">
      <c r="A89" s="16" t="s">
        <v>10</v>
      </c>
      <c r="B89">
        <v>4</v>
      </c>
      <c r="C89">
        <v>75.306110799999999</v>
      </c>
      <c r="D89">
        <v>42304</v>
      </c>
      <c r="E89">
        <v>92.052800000000005</v>
      </c>
      <c r="F89">
        <v>51.810699999999997</v>
      </c>
      <c r="G89">
        <v>74.819800000000001</v>
      </c>
      <c r="H89">
        <v>25.180199999999999</v>
      </c>
      <c r="I89">
        <v>105</v>
      </c>
      <c r="J89">
        <v>100</v>
      </c>
      <c r="K89">
        <v>100</v>
      </c>
      <c r="L89">
        <v>100</v>
      </c>
      <c r="M89">
        <v>223585.43768599999</v>
      </c>
      <c r="N89">
        <v>39097.033726000001</v>
      </c>
      <c r="O89">
        <v>183952.39433000001</v>
      </c>
      <c r="P89">
        <v>536.00963000000002</v>
      </c>
      <c r="Q89">
        <v>263.83212600000002</v>
      </c>
      <c r="R89">
        <v>2000</v>
      </c>
      <c r="S89">
        <v>10</v>
      </c>
      <c r="T89">
        <v>0.99</v>
      </c>
      <c r="U89">
        <v>0.56283676324891796</v>
      </c>
    </row>
    <row r="90" spans="1:21" x14ac:dyDescent="0.2">
      <c r="A90" s="16" t="s">
        <v>10</v>
      </c>
      <c r="B90">
        <v>4</v>
      </c>
      <c r="C90">
        <v>75.240884198000003</v>
      </c>
      <c r="D90">
        <v>42304</v>
      </c>
      <c r="E90">
        <v>92.052800000000005</v>
      </c>
      <c r="F90">
        <v>52.054200000000002</v>
      </c>
      <c r="G90">
        <v>74.419899999999998</v>
      </c>
      <c r="H90">
        <v>25.580100000000002</v>
      </c>
      <c r="I90">
        <v>105</v>
      </c>
      <c r="J90">
        <v>100</v>
      </c>
      <c r="K90">
        <v>100</v>
      </c>
      <c r="L90">
        <v>100</v>
      </c>
      <c r="M90">
        <v>223716.043676</v>
      </c>
      <c r="N90">
        <v>39097.033726000001</v>
      </c>
      <c r="O90">
        <v>184081.89976</v>
      </c>
      <c r="P90">
        <v>537.11018999999999</v>
      </c>
      <c r="Q90">
        <v>265.03649999999999</v>
      </c>
      <c r="R90">
        <v>2000</v>
      </c>
      <c r="S90">
        <v>10</v>
      </c>
      <c r="T90">
        <v>0.99</v>
      </c>
      <c r="U90">
        <v>0.56548198425251595</v>
      </c>
    </row>
    <row r="91" spans="1:21" x14ac:dyDescent="0.2">
      <c r="A91" s="16" t="s">
        <v>10</v>
      </c>
      <c r="B91">
        <v>4</v>
      </c>
      <c r="C91">
        <v>75.175768210000001</v>
      </c>
      <c r="D91">
        <v>42304</v>
      </c>
      <c r="E91">
        <v>92.052800000000005</v>
      </c>
      <c r="F91">
        <v>52.066000000000003</v>
      </c>
      <c r="G91">
        <v>74.757099999999994</v>
      </c>
      <c r="H91">
        <v>25.242899999999999</v>
      </c>
      <c r="I91">
        <v>105</v>
      </c>
      <c r="J91">
        <v>100</v>
      </c>
      <c r="K91">
        <v>100</v>
      </c>
      <c r="L91">
        <v>100</v>
      </c>
      <c r="M91">
        <v>223379.31990999999</v>
      </c>
      <c r="N91">
        <v>39097.033726000001</v>
      </c>
      <c r="O91">
        <v>183745.06896400001</v>
      </c>
      <c r="P91">
        <v>537.21722</v>
      </c>
      <c r="Q91">
        <v>263.97965900000003</v>
      </c>
      <c r="R91">
        <v>2000</v>
      </c>
      <c r="S91">
        <v>10</v>
      </c>
      <c r="T91">
        <v>0.99</v>
      </c>
      <c r="U91">
        <v>0.56561017155371696</v>
      </c>
    </row>
    <row r="92" spans="1:21" x14ac:dyDescent="0.2">
      <c r="A92" s="16" t="s">
        <v>10</v>
      </c>
      <c r="B92">
        <v>4</v>
      </c>
      <c r="C92">
        <v>75.794036125999995</v>
      </c>
      <c r="D92">
        <v>42304</v>
      </c>
      <c r="E92">
        <v>92.052800000000005</v>
      </c>
      <c r="F92">
        <v>51.699599999999997</v>
      </c>
      <c r="G92">
        <v>74.075299999999999</v>
      </c>
      <c r="H92">
        <v>25.924700000000001</v>
      </c>
      <c r="I92">
        <v>105</v>
      </c>
      <c r="J92">
        <v>100</v>
      </c>
      <c r="K92">
        <v>100</v>
      </c>
      <c r="L92">
        <v>100</v>
      </c>
      <c r="M92">
        <v>224439.005351</v>
      </c>
      <c r="N92">
        <v>39097.033726000001</v>
      </c>
      <c r="O92">
        <v>184805.58911500001</v>
      </c>
      <c r="P92">
        <v>536.38251000000002</v>
      </c>
      <c r="Q92">
        <v>265.501576</v>
      </c>
      <c r="R92">
        <v>2000</v>
      </c>
      <c r="S92">
        <v>10</v>
      </c>
      <c r="T92">
        <v>0.99</v>
      </c>
      <c r="U92">
        <v>0.56162984721811826</v>
      </c>
    </row>
    <row r="93" spans="1:21" x14ac:dyDescent="0.2">
      <c r="A93" s="16" t="s">
        <v>10</v>
      </c>
      <c r="B93">
        <v>4</v>
      </c>
      <c r="C93">
        <v>75.165020866000006</v>
      </c>
      <c r="D93">
        <v>42304</v>
      </c>
      <c r="E93">
        <v>92.052800000000005</v>
      </c>
      <c r="F93">
        <v>51.798900000000003</v>
      </c>
      <c r="G93">
        <v>74.202500000000001</v>
      </c>
      <c r="H93">
        <v>25.797499999999999</v>
      </c>
      <c r="I93">
        <v>105</v>
      </c>
      <c r="J93">
        <v>100</v>
      </c>
      <c r="K93">
        <v>100</v>
      </c>
      <c r="L93">
        <v>100</v>
      </c>
      <c r="M93">
        <v>224260.83225800001</v>
      </c>
      <c r="N93">
        <v>39097.033726000001</v>
      </c>
      <c r="O93">
        <v>184626.895552</v>
      </c>
      <c r="P93">
        <v>536.90297999999996</v>
      </c>
      <c r="Q93">
        <v>265.23872499999999</v>
      </c>
      <c r="R93">
        <v>2000</v>
      </c>
      <c r="S93">
        <v>10</v>
      </c>
      <c r="T93">
        <v>0.99</v>
      </c>
      <c r="U93">
        <v>0.56270857594771695</v>
      </c>
    </row>
    <row r="94" spans="1:21" x14ac:dyDescent="0.2">
      <c r="A94" s="16" t="s">
        <v>10</v>
      </c>
      <c r="B94">
        <v>4</v>
      </c>
      <c r="C94">
        <v>75.954702596000004</v>
      </c>
      <c r="D94">
        <v>42304</v>
      </c>
      <c r="E94">
        <v>92.052800000000005</v>
      </c>
      <c r="F94">
        <v>52.014000000000003</v>
      </c>
      <c r="G94">
        <v>74.113799999999998</v>
      </c>
      <c r="H94">
        <v>25.886199999999999</v>
      </c>
      <c r="I94">
        <v>105</v>
      </c>
      <c r="J94">
        <v>100</v>
      </c>
      <c r="K94">
        <v>100</v>
      </c>
      <c r="L94">
        <v>100</v>
      </c>
      <c r="M94">
        <v>223544.581791</v>
      </c>
      <c r="N94">
        <v>39097.033726000001</v>
      </c>
      <c r="O94">
        <v>183910.92955500001</v>
      </c>
      <c r="P94">
        <v>536.61851000000001</v>
      </c>
      <c r="Q94">
        <v>265.67484899999999</v>
      </c>
      <c r="R94">
        <v>2000</v>
      </c>
      <c r="S94">
        <v>10</v>
      </c>
      <c r="T94">
        <v>0.99</v>
      </c>
      <c r="U94">
        <v>0.56504527836198359</v>
      </c>
    </row>
    <row r="95" spans="1:21" x14ac:dyDescent="0.2">
      <c r="A95" s="16" t="s">
        <v>10</v>
      </c>
      <c r="B95">
        <v>4</v>
      </c>
      <c r="C95">
        <v>76.213154567999993</v>
      </c>
      <c r="D95">
        <v>42304</v>
      </c>
      <c r="E95">
        <v>92.052800000000005</v>
      </c>
      <c r="F95">
        <v>51.552999999999997</v>
      </c>
      <c r="G95">
        <v>74.175799999999995</v>
      </c>
      <c r="H95">
        <v>25.824200000000001</v>
      </c>
      <c r="I95">
        <v>105</v>
      </c>
      <c r="J95">
        <v>100</v>
      </c>
      <c r="K95">
        <v>100</v>
      </c>
      <c r="L95">
        <v>100</v>
      </c>
      <c r="M95">
        <v>225235.772658</v>
      </c>
      <c r="N95">
        <v>39097.033726000001</v>
      </c>
      <c r="O95">
        <v>185602.67475199999</v>
      </c>
      <c r="P95">
        <v>536.06417999999996</v>
      </c>
      <c r="Q95">
        <v>265.14210400000002</v>
      </c>
      <c r="R95">
        <v>2000</v>
      </c>
      <c r="S95">
        <v>10</v>
      </c>
      <c r="T95">
        <v>0.99</v>
      </c>
      <c r="U95">
        <v>0.56003728295065436</v>
      </c>
    </row>
    <row r="96" spans="1:21" x14ac:dyDescent="0.2">
      <c r="A96" s="16" t="s">
        <v>10</v>
      </c>
      <c r="B96">
        <v>4</v>
      </c>
      <c r="C96">
        <v>75.234832608999994</v>
      </c>
      <c r="D96">
        <v>42304</v>
      </c>
      <c r="E96">
        <v>92.052800000000005</v>
      </c>
      <c r="F96">
        <v>51.976199999999999</v>
      </c>
      <c r="G96">
        <v>74.381500000000003</v>
      </c>
      <c r="H96">
        <v>25.618500000000001</v>
      </c>
      <c r="I96">
        <v>105</v>
      </c>
      <c r="J96">
        <v>100</v>
      </c>
      <c r="K96">
        <v>100</v>
      </c>
      <c r="L96">
        <v>100</v>
      </c>
      <c r="M96">
        <v>223699.26311900001</v>
      </c>
      <c r="N96">
        <v>39097.033726000001</v>
      </c>
      <c r="O96">
        <v>184064.938043</v>
      </c>
      <c r="P96">
        <v>537.29134999999997</v>
      </c>
      <c r="Q96">
        <v>264.88868500000001</v>
      </c>
      <c r="R96">
        <v>2000</v>
      </c>
      <c r="S96">
        <v>10</v>
      </c>
      <c r="T96">
        <v>0.99</v>
      </c>
      <c r="U96">
        <v>0.56463464446491574</v>
      </c>
    </row>
    <row r="97" spans="1:21" x14ac:dyDescent="0.2">
      <c r="A97" s="16" t="s">
        <v>10</v>
      </c>
      <c r="B97">
        <v>4</v>
      </c>
      <c r="C97">
        <v>74.875487105000005</v>
      </c>
      <c r="D97">
        <v>42304</v>
      </c>
      <c r="E97">
        <v>92.052800000000005</v>
      </c>
      <c r="F97">
        <v>51.898200000000003</v>
      </c>
      <c r="G97">
        <v>74.7256</v>
      </c>
      <c r="H97">
        <v>25.2744</v>
      </c>
      <c r="I97">
        <v>105</v>
      </c>
      <c r="J97">
        <v>100</v>
      </c>
      <c r="K97">
        <v>100</v>
      </c>
      <c r="L97">
        <v>100</v>
      </c>
      <c r="M97">
        <v>224003.66360199999</v>
      </c>
      <c r="N97">
        <v>39097.033726000001</v>
      </c>
      <c r="O97">
        <v>184369.450836</v>
      </c>
      <c r="P97">
        <v>537.17903999999999</v>
      </c>
      <c r="Q97">
        <v>263.97804200000002</v>
      </c>
      <c r="R97">
        <v>2000</v>
      </c>
      <c r="S97">
        <v>10</v>
      </c>
      <c r="T97">
        <v>0.99</v>
      </c>
      <c r="U97">
        <v>0.56378730467731564</v>
      </c>
    </row>
    <row r="98" spans="1:21" x14ac:dyDescent="0.2">
      <c r="A98" s="16" t="s">
        <v>10</v>
      </c>
      <c r="B98">
        <v>4</v>
      </c>
      <c r="C98">
        <v>74.662855828999994</v>
      </c>
      <c r="D98">
        <v>42304</v>
      </c>
      <c r="E98">
        <v>92.052800000000005</v>
      </c>
      <c r="F98">
        <v>51.843800000000002</v>
      </c>
      <c r="G98">
        <v>74.279600000000002</v>
      </c>
      <c r="H98">
        <v>25.720400000000001</v>
      </c>
      <c r="I98">
        <v>105</v>
      </c>
      <c r="J98">
        <v>100</v>
      </c>
      <c r="K98">
        <v>100</v>
      </c>
      <c r="L98">
        <v>100</v>
      </c>
      <c r="M98">
        <v>223444.63053299999</v>
      </c>
      <c r="N98">
        <v>39097.033726000001</v>
      </c>
      <c r="O98">
        <v>183810.07204699999</v>
      </c>
      <c r="P98">
        <v>537.52476000000001</v>
      </c>
      <c r="Q98">
        <v>265.16250200000002</v>
      </c>
      <c r="R98">
        <v>2000</v>
      </c>
      <c r="S98">
        <v>10</v>
      </c>
      <c r="T98">
        <v>0.99</v>
      </c>
      <c r="U98">
        <v>0.56319633949211756</v>
      </c>
    </row>
    <row r="99" spans="1:21" x14ac:dyDescent="0.2">
      <c r="A99" s="16" t="s">
        <v>10</v>
      </c>
      <c r="B99">
        <v>4</v>
      </c>
      <c r="C99">
        <v>75.671202584</v>
      </c>
      <c r="D99">
        <v>42304</v>
      </c>
      <c r="E99">
        <v>92.052800000000005</v>
      </c>
      <c r="F99">
        <v>51.664099999999998</v>
      </c>
      <c r="G99">
        <v>74.327399999999997</v>
      </c>
      <c r="H99">
        <v>25.672599999999999</v>
      </c>
      <c r="I99">
        <v>105</v>
      </c>
      <c r="J99">
        <v>100</v>
      </c>
      <c r="K99">
        <v>100</v>
      </c>
      <c r="L99">
        <v>100</v>
      </c>
      <c r="M99">
        <v>224466.42831399999</v>
      </c>
      <c r="N99">
        <v>39097.033726000001</v>
      </c>
      <c r="O99">
        <v>184832.81523800001</v>
      </c>
      <c r="P99">
        <v>536.57934999999998</v>
      </c>
      <c r="Q99">
        <v>265.18127299999998</v>
      </c>
      <c r="R99">
        <v>2000</v>
      </c>
      <c r="S99">
        <v>10</v>
      </c>
      <c r="T99">
        <v>0.99</v>
      </c>
      <c r="U99">
        <v>0.56124419898145406</v>
      </c>
    </row>
    <row r="100" spans="1:21" x14ac:dyDescent="0.2">
      <c r="A100" s="16" t="s">
        <v>10</v>
      </c>
      <c r="B100">
        <v>4</v>
      </c>
      <c r="C100">
        <v>76.497279415999998</v>
      </c>
      <c r="D100">
        <v>42304</v>
      </c>
      <c r="E100">
        <v>92.052800000000005</v>
      </c>
      <c r="F100">
        <v>51.737400000000001</v>
      </c>
      <c r="G100">
        <v>74.519099999999995</v>
      </c>
      <c r="H100">
        <v>25.480899999999998</v>
      </c>
      <c r="I100">
        <v>105</v>
      </c>
      <c r="J100">
        <v>100</v>
      </c>
      <c r="K100">
        <v>100</v>
      </c>
      <c r="L100">
        <v>100</v>
      </c>
      <c r="M100">
        <v>224533.85436900001</v>
      </c>
      <c r="N100">
        <v>39097.033726000001</v>
      </c>
      <c r="O100">
        <v>184900.85340299999</v>
      </c>
      <c r="P100">
        <v>535.96723999999995</v>
      </c>
      <c r="Q100">
        <v>264.41338999999999</v>
      </c>
      <c r="R100">
        <v>2000</v>
      </c>
      <c r="S100">
        <v>10</v>
      </c>
      <c r="T100">
        <v>0.99</v>
      </c>
      <c r="U100">
        <v>0.56204048111518601</v>
      </c>
    </row>
    <row r="101" spans="1:21" x14ac:dyDescent="0.2">
      <c r="A101" s="16" t="s">
        <v>10</v>
      </c>
      <c r="B101">
        <v>4</v>
      </c>
      <c r="C101">
        <v>75.139395309999998</v>
      </c>
      <c r="D101">
        <v>42304</v>
      </c>
      <c r="E101">
        <v>92.052800000000005</v>
      </c>
      <c r="F101">
        <v>51.839100000000002</v>
      </c>
      <c r="G101">
        <v>74.546300000000002</v>
      </c>
      <c r="H101">
        <v>25.453700000000001</v>
      </c>
      <c r="I101">
        <v>105</v>
      </c>
      <c r="J101">
        <v>100</v>
      </c>
      <c r="K101">
        <v>100</v>
      </c>
      <c r="L101">
        <v>100</v>
      </c>
      <c r="M101">
        <v>223820.088529</v>
      </c>
      <c r="N101">
        <v>39097.033726000001</v>
      </c>
      <c r="O101">
        <v>184185.885733</v>
      </c>
      <c r="P101">
        <v>537.16907000000003</v>
      </c>
      <c r="Q101">
        <v>264.74560200000002</v>
      </c>
      <c r="R101">
        <v>2000</v>
      </c>
      <c r="S101">
        <v>10</v>
      </c>
      <c r="T101">
        <v>0.99</v>
      </c>
      <c r="U101">
        <v>0.5631452818382493</v>
      </c>
    </row>
    <row r="102" spans="1:21" x14ac:dyDescent="0.2">
      <c r="A102" s="16" t="s">
        <v>10</v>
      </c>
      <c r="B102">
        <v>4</v>
      </c>
      <c r="C102">
        <v>74.904941261000005</v>
      </c>
      <c r="D102">
        <v>42304</v>
      </c>
      <c r="E102">
        <v>92.052800000000005</v>
      </c>
      <c r="F102">
        <v>52.096699999999998</v>
      </c>
      <c r="G102">
        <v>74.527000000000001</v>
      </c>
      <c r="H102">
        <v>25.472999999999999</v>
      </c>
      <c r="I102">
        <v>105</v>
      </c>
      <c r="J102">
        <v>100</v>
      </c>
      <c r="K102">
        <v>100</v>
      </c>
      <c r="L102">
        <v>100</v>
      </c>
      <c r="M102">
        <v>222979.48121200001</v>
      </c>
      <c r="N102">
        <v>39097.033726000001</v>
      </c>
      <c r="O102">
        <v>183344.87686600001</v>
      </c>
      <c r="P102">
        <v>537.57061999999996</v>
      </c>
      <c r="Q102">
        <v>264.77017999999998</v>
      </c>
      <c r="R102">
        <v>2000</v>
      </c>
      <c r="S102">
        <v>10</v>
      </c>
      <c r="T102">
        <v>0.99</v>
      </c>
      <c r="U102">
        <v>0.56594367580345184</v>
      </c>
    </row>
    <row r="103" spans="1:21" x14ac:dyDescent="0.2">
      <c r="A103" s="16" t="s">
        <v>10</v>
      </c>
      <c r="B103">
        <v>4</v>
      </c>
      <c r="C103">
        <v>74.562125174000002</v>
      </c>
      <c r="D103">
        <v>42304</v>
      </c>
      <c r="E103">
        <v>92.052800000000005</v>
      </c>
      <c r="F103">
        <v>51.8367</v>
      </c>
      <c r="G103">
        <v>74.130099999999999</v>
      </c>
      <c r="H103">
        <v>25.869900000000001</v>
      </c>
      <c r="I103">
        <v>105</v>
      </c>
      <c r="J103">
        <v>100</v>
      </c>
      <c r="K103">
        <v>100</v>
      </c>
      <c r="L103">
        <v>100</v>
      </c>
      <c r="M103">
        <v>224129.30344600001</v>
      </c>
      <c r="N103">
        <v>39097.033726000001</v>
      </c>
      <c r="O103">
        <v>184495.10472</v>
      </c>
      <c r="P103">
        <v>537.16499999999996</v>
      </c>
      <c r="Q103">
        <v>265.24851699999999</v>
      </c>
      <c r="R103">
        <v>2000</v>
      </c>
      <c r="S103">
        <v>10</v>
      </c>
      <c r="T103">
        <v>0.99</v>
      </c>
      <c r="U103">
        <v>0.5631192098447847</v>
      </c>
    </row>
    <row r="104" spans="1:21" x14ac:dyDescent="0.2">
      <c r="A104" s="16" t="s">
        <v>10</v>
      </c>
      <c r="B104">
        <v>4</v>
      </c>
      <c r="C104">
        <v>75.659766887000004</v>
      </c>
      <c r="D104">
        <v>42304</v>
      </c>
      <c r="E104">
        <v>92.052800000000005</v>
      </c>
      <c r="F104">
        <v>51.810699999999997</v>
      </c>
      <c r="G104">
        <v>74.304199999999994</v>
      </c>
      <c r="H104">
        <v>25.695799999999998</v>
      </c>
      <c r="I104">
        <v>105</v>
      </c>
      <c r="J104">
        <v>100</v>
      </c>
      <c r="K104">
        <v>100</v>
      </c>
      <c r="L104">
        <v>100</v>
      </c>
      <c r="M104">
        <v>224072.703412</v>
      </c>
      <c r="N104">
        <v>39097.033726000001</v>
      </c>
      <c r="O104">
        <v>184438.31191600001</v>
      </c>
      <c r="P104">
        <v>537.35776999999996</v>
      </c>
      <c r="Q104">
        <v>265.397086</v>
      </c>
      <c r="R104">
        <v>2000</v>
      </c>
      <c r="S104">
        <v>10</v>
      </c>
      <c r="T104">
        <v>0.99</v>
      </c>
      <c r="U104">
        <v>0.56283676324891796</v>
      </c>
    </row>
    <row r="105" spans="1:21" x14ac:dyDescent="0.2">
      <c r="A105" s="16" t="s">
        <v>10</v>
      </c>
      <c r="B105">
        <v>4</v>
      </c>
      <c r="C105">
        <v>75.180067754000007</v>
      </c>
      <c r="D105">
        <v>42304</v>
      </c>
      <c r="E105">
        <v>92.052800000000005</v>
      </c>
      <c r="F105">
        <v>51.775199999999998</v>
      </c>
      <c r="G105">
        <v>74.373400000000004</v>
      </c>
      <c r="H105">
        <v>25.6266</v>
      </c>
      <c r="I105">
        <v>105</v>
      </c>
      <c r="J105">
        <v>100</v>
      </c>
      <c r="K105">
        <v>100</v>
      </c>
      <c r="L105">
        <v>100</v>
      </c>
      <c r="M105">
        <v>223838.253601</v>
      </c>
      <c r="N105">
        <v>39097.033726000001</v>
      </c>
      <c r="O105">
        <v>184204.134055</v>
      </c>
      <c r="P105">
        <v>537.08582000000001</v>
      </c>
      <c r="Q105">
        <v>264.94999200000001</v>
      </c>
      <c r="R105">
        <v>2000</v>
      </c>
      <c r="S105">
        <v>10</v>
      </c>
      <c r="T105">
        <v>0.99</v>
      </c>
      <c r="U105">
        <v>0.56245111501225376</v>
      </c>
    </row>
    <row r="106" spans="1:21" x14ac:dyDescent="0.2">
      <c r="A106" s="16" t="s">
        <v>10</v>
      </c>
      <c r="B106">
        <v>4</v>
      </c>
      <c r="C106">
        <v>76.215446697000004</v>
      </c>
      <c r="D106">
        <v>42304</v>
      </c>
      <c r="E106">
        <v>92.052800000000005</v>
      </c>
      <c r="F106">
        <v>51.959600000000002</v>
      </c>
      <c r="G106">
        <v>74.978399999999993</v>
      </c>
      <c r="H106">
        <v>25.021599999999999</v>
      </c>
      <c r="I106">
        <v>105</v>
      </c>
      <c r="J106">
        <v>100</v>
      </c>
      <c r="K106">
        <v>100</v>
      </c>
      <c r="L106">
        <v>100</v>
      </c>
      <c r="M106">
        <v>223925.11588299999</v>
      </c>
      <c r="N106">
        <v>39097.033726000001</v>
      </c>
      <c r="O106">
        <v>184291.64857700001</v>
      </c>
      <c r="P106">
        <v>536.43358000000001</v>
      </c>
      <c r="Q106">
        <v>262.99610999999999</v>
      </c>
      <c r="R106">
        <v>2000</v>
      </c>
      <c r="S106">
        <v>10</v>
      </c>
      <c r="T106">
        <v>0.99</v>
      </c>
      <c r="U106">
        <v>0.56445431317678552</v>
      </c>
    </row>
    <row r="107" spans="1:21" x14ac:dyDescent="0.2">
      <c r="A107" s="16" t="s">
        <v>11</v>
      </c>
      <c r="B107">
        <v>4</v>
      </c>
      <c r="C107">
        <v>275.54382674999999</v>
      </c>
      <c r="D107">
        <v>42304</v>
      </c>
      <c r="E107">
        <v>92.052800000000005</v>
      </c>
      <c r="F107">
        <v>56.0822</v>
      </c>
      <c r="G107">
        <v>71.241299999999995</v>
      </c>
      <c r="H107">
        <v>28.758700000000001</v>
      </c>
      <c r="I107">
        <v>105</v>
      </c>
      <c r="J107">
        <v>100</v>
      </c>
      <c r="K107">
        <v>100</v>
      </c>
      <c r="L107">
        <v>100</v>
      </c>
      <c r="M107">
        <v>224203.343761</v>
      </c>
      <c r="N107">
        <v>39097.033726000001</v>
      </c>
      <c r="O107">
        <v>184571.621675</v>
      </c>
      <c r="P107">
        <v>534.68835999999999</v>
      </c>
      <c r="Q107">
        <v>273.19216799999998</v>
      </c>
      <c r="R107">
        <v>2000</v>
      </c>
      <c r="S107">
        <v>10</v>
      </c>
      <c r="T107">
        <v>0.99</v>
      </c>
      <c r="U107">
        <v>0.60923947995063699</v>
      </c>
    </row>
    <row r="108" spans="1:21" x14ac:dyDescent="0.2">
      <c r="A108" s="16" t="s">
        <v>11</v>
      </c>
      <c r="B108">
        <v>4</v>
      </c>
      <c r="C108">
        <v>276.282325254</v>
      </c>
      <c r="D108">
        <v>42304</v>
      </c>
      <c r="E108">
        <v>92.052800000000005</v>
      </c>
      <c r="F108">
        <v>56.037300000000002</v>
      </c>
      <c r="G108">
        <v>71.117000000000004</v>
      </c>
      <c r="H108">
        <v>28.882999999999999</v>
      </c>
      <c r="I108">
        <v>105</v>
      </c>
      <c r="J108">
        <v>100</v>
      </c>
      <c r="K108">
        <v>100</v>
      </c>
      <c r="L108">
        <v>100</v>
      </c>
      <c r="M108">
        <v>224630.08210999999</v>
      </c>
      <c r="N108">
        <v>39097.033726000001</v>
      </c>
      <c r="O108">
        <v>184997.90358400001</v>
      </c>
      <c r="P108">
        <v>535.14480000000003</v>
      </c>
      <c r="Q108">
        <v>273.27575000000002</v>
      </c>
      <c r="R108">
        <v>2000</v>
      </c>
      <c r="S108">
        <v>10</v>
      </c>
      <c r="T108">
        <v>0.99</v>
      </c>
      <c r="U108">
        <v>0.60875171640623638</v>
      </c>
    </row>
    <row r="109" spans="1:21" x14ac:dyDescent="0.2">
      <c r="A109" s="16" t="s">
        <v>11</v>
      </c>
      <c r="B109">
        <v>4</v>
      </c>
      <c r="C109">
        <v>274.63152206299998</v>
      </c>
      <c r="D109">
        <v>42304</v>
      </c>
      <c r="E109">
        <v>92.052800000000005</v>
      </c>
      <c r="F109">
        <v>55.947400000000002</v>
      </c>
      <c r="G109">
        <v>71.391800000000003</v>
      </c>
      <c r="H109">
        <v>28.6082</v>
      </c>
      <c r="I109">
        <v>105</v>
      </c>
      <c r="J109">
        <v>100</v>
      </c>
      <c r="K109">
        <v>100</v>
      </c>
      <c r="L109">
        <v>100</v>
      </c>
      <c r="M109">
        <v>224428.30181999999</v>
      </c>
      <c r="N109">
        <v>39097.033726000001</v>
      </c>
      <c r="O109">
        <v>184795.78298399999</v>
      </c>
      <c r="P109">
        <v>535.48510999999996</v>
      </c>
      <c r="Q109">
        <v>272.75688200000002</v>
      </c>
      <c r="R109">
        <v>2000</v>
      </c>
      <c r="S109">
        <v>10</v>
      </c>
      <c r="T109">
        <v>0.99</v>
      </c>
      <c r="U109">
        <v>0.6077751029843742</v>
      </c>
    </row>
    <row r="110" spans="1:21" x14ac:dyDescent="0.2">
      <c r="A110" s="16" t="s">
        <v>11</v>
      </c>
      <c r="B110">
        <v>4</v>
      </c>
      <c r="C110">
        <v>276.31761906700001</v>
      </c>
      <c r="D110">
        <v>42304</v>
      </c>
      <c r="E110">
        <v>92.052800000000005</v>
      </c>
      <c r="F110">
        <v>56.0822</v>
      </c>
      <c r="G110">
        <v>71.030600000000007</v>
      </c>
      <c r="H110">
        <v>28.9694</v>
      </c>
      <c r="I110">
        <v>105</v>
      </c>
      <c r="J110">
        <v>100</v>
      </c>
      <c r="K110">
        <v>100</v>
      </c>
      <c r="L110">
        <v>100</v>
      </c>
      <c r="M110">
        <v>224189.21818900001</v>
      </c>
      <c r="N110">
        <v>39097.033726000001</v>
      </c>
      <c r="O110">
        <v>184557.51947299999</v>
      </c>
      <c r="P110">
        <v>534.66498999999999</v>
      </c>
      <c r="Q110">
        <v>273.48764799999998</v>
      </c>
      <c r="R110">
        <v>2000</v>
      </c>
      <c r="S110">
        <v>10</v>
      </c>
      <c r="T110">
        <v>0.99</v>
      </c>
      <c r="U110">
        <v>0.60923947995063699</v>
      </c>
    </row>
    <row r="111" spans="1:21" x14ac:dyDescent="0.2">
      <c r="A111" s="16" t="s">
        <v>11</v>
      </c>
      <c r="B111">
        <v>4</v>
      </c>
      <c r="C111">
        <v>275.62282799600001</v>
      </c>
      <c r="D111">
        <v>42304</v>
      </c>
      <c r="E111">
        <v>92.052800000000005</v>
      </c>
      <c r="F111">
        <v>56.0443</v>
      </c>
      <c r="G111">
        <v>71.196600000000004</v>
      </c>
      <c r="H111">
        <v>28.8034</v>
      </c>
      <c r="I111">
        <v>105</v>
      </c>
      <c r="J111">
        <v>100</v>
      </c>
      <c r="K111">
        <v>100</v>
      </c>
      <c r="L111">
        <v>100</v>
      </c>
      <c r="M111">
        <v>224275.83508300001</v>
      </c>
      <c r="N111">
        <v>39097.033726000001</v>
      </c>
      <c r="O111">
        <v>184644.10517699999</v>
      </c>
      <c r="P111">
        <v>534.69618000000003</v>
      </c>
      <c r="Q111">
        <v>273.56326200000001</v>
      </c>
      <c r="R111">
        <v>2000</v>
      </c>
      <c r="S111">
        <v>10</v>
      </c>
      <c r="T111">
        <v>0.99</v>
      </c>
      <c r="U111">
        <v>0.60882775972050818</v>
      </c>
    </row>
    <row r="112" spans="1:21" x14ac:dyDescent="0.2">
      <c r="A112" s="16" t="s">
        <v>11</v>
      </c>
      <c r="B112">
        <v>4</v>
      </c>
      <c r="C112">
        <v>276.64644254900003</v>
      </c>
      <c r="D112">
        <v>42304</v>
      </c>
      <c r="E112">
        <v>92.052800000000005</v>
      </c>
      <c r="F112">
        <v>56.0869</v>
      </c>
      <c r="G112">
        <v>71.159400000000005</v>
      </c>
      <c r="H112">
        <v>28.840599999999998</v>
      </c>
      <c r="I112">
        <v>105</v>
      </c>
      <c r="J112">
        <v>100</v>
      </c>
      <c r="K112">
        <v>100</v>
      </c>
      <c r="L112">
        <v>100</v>
      </c>
      <c r="M112">
        <v>224458.242524</v>
      </c>
      <c r="N112">
        <v>39097.033726000001</v>
      </c>
      <c r="O112">
        <v>184825.68082800001</v>
      </c>
      <c r="P112">
        <v>535.52796999999998</v>
      </c>
      <c r="Q112">
        <v>273.00571500000001</v>
      </c>
      <c r="R112">
        <v>2000</v>
      </c>
      <c r="S112">
        <v>10</v>
      </c>
      <c r="T112">
        <v>0.99</v>
      </c>
      <c r="U112">
        <v>0.60929053760450524</v>
      </c>
    </row>
    <row r="113" spans="1:21" x14ac:dyDescent="0.2">
      <c r="A113" s="16" t="s">
        <v>11</v>
      </c>
      <c r="B113">
        <v>4</v>
      </c>
      <c r="C113">
        <v>276.17686358999998</v>
      </c>
      <c r="D113">
        <v>42304</v>
      </c>
      <c r="E113">
        <v>92.052800000000005</v>
      </c>
      <c r="F113">
        <v>56.195599999999999</v>
      </c>
      <c r="G113">
        <v>71.337199999999996</v>
      </c>
      <c r="H113">
        <v>28.662800000000001</v>
      </c>
      <c r="I113">
        <v>105</v>
      </c>
      <c r="J113">
        <v>100</v>
      </c>
      <c r="K113">
        <v>100</v>
      </c>
      <c r="L113">
        <v>100</v>
      </c>
      <c r="M113">
        <v>224181.959393</v>
      </c>
      <c r="N113">
        <v>39097.033726000001</v>
      </c>
      <c r="O113">
        <v>184549.18915699999</v>
      </c>
      <c r="P113">
        <v>535.73650999999995</v>
      </c>
      <c r="Q113">
        <v>272.70925399999999</v>
      </c>
      <c r="R113">
        <v>2000</v>
      </c>
      <c r="S113">
        <v>10</v>
      </c>
      <c r="T113">
        <v>0.99</v>
      </c>
      <c r="U113">
        <v>0.61047138164184034</v>
      </c>
    </row>
    <row r="114" spans="1:21" x14ac:dyDescent="0.2">
      <c r="A114" s="16" t="s">
        <v>11</v>
      </c>
      <c r="B114">
        <v>4</v>
      </c>
      <c r="C114">
        <v>275.01332648900001</v>
      </c>
      <c r="D114">
        <v>42304</v>
      </c>
      <c r="E114">
        <v>92.052800000000005</v>
      </c>
      <c r="F114">
        <v>55.9923</v>
      </c>
      <c r="G114">
        <v>71.722899999999996</v>
      </c>
      <c r="H114">
        <v>28.277100000000001</v>
      </c>
      <c r="I114">
        <v>105</v>
      </c>
      <c r="J114">
        <v>100</v>
      </c>
      <c r="K114">
        <v>100</v>
      </c>
      <c r="L114">
        <v>100</v>
      </c>
      <c r="M114">
        <v>224497.54019299999</v>
      </c>
      <c r="N114">
        <v>39097.033726000001</v>
      </c>
      <c r="O114">
        <v>184865.17120700001</v>
      </c>
      <c r="P114">
        <v>535.33525999999995</v>
      </c>
      <c r="Q114">
        <v>271.84269899999998</v>
      </c>
      <c r="R114">
        <v>2000</v>
      </c>
      <c r="S114">
        <v>10</v>
      </c>
      <c r="T114">
        <v>0.99</v>
      </c>
      <c r="U114">
        <v>0.60826286652877481</v>
      </c>
    </row>
    <row r="115" spans="1:21" x14ac:dyDescent="0.2">
      <c r="A115" s="16" t="s">
        <v>11</v>
      </c>
      <c r="B115">
        <v>4</v>
      </c>
      <c r="C115">
        <v>274.57502949899998</v>
      </c>
      <c r="D115">
        <v>42304</v>
      </c>
      <c r="E115">
        <v>92.052800000000005</v>
      </c>
      <c r="F115">
        <v>55.9923</v>
      </c>
      <c r="G115">
        <v>71.452699999999993</v>
      </c>
      <c r="H115">
        <v>28.5473</v>
      </c>
      <c r="I115">
        <v>105</v>
      </c>
      <c r="J115">
        <v>100</v>
      </c>
      <c r="K115">
        <v>100</v>
      </c>
      <c r="L115">
        <v>100</v>
      </c>
      <c r="M115">
        <v>224687.60784700001</v>
      </c>
      <c r="N115">
        <v>39097.033726000001</v>
      </c>
      <c r="O115">
        <v>185055.73266099999</v>
      </c>
      <c r="P115">
        <v>534.84145999999998</v>
      </c>
      <c r="Q115">
        <v>272.364755</v>
      </c>
      <c r="R115">
        <v>2000</v>
      </c>
      <c r="S115">
        <v>10</v>
      </c>
      <c r="T115">
        <v>0.99</v>
      </c>
      <c r="U115">
        <v>0.60826286652877481</v>
      </c>
    </row>
    <row r="116" spans="1:21" x14ac:dyDescent="0.2">
      <c r="A116" s="16" t="s">
        <v>11</v>
      </c>
      <c r="B116">
        <v>4</v>
      </c>
      <c r="C116">
        <v>276.07310889799999</v>
      </c>
      <c r="D116">
        <v>42304</v>
      </c>
      <c r="E116">
        <v>92.052800000000005</v>
      </c>
      <c r="F116">
        <v>55.930900000000001</v>
      </c>
      <c r="G116">
        <v>71.5608</v>
      </c>
      <c r="H116">
        <v>28.4392</v>
      </c>
      <c r="I116">
        <v>105</v>
      </c>
      <c r="J116">
        <v>100</v>
      </c>
      <c r="K116">
        <v>100</v>
      </c>
      <c r="L116">
        <v>100</v>
      </c>
      <c r="M116">
        <v>224806.59023</v>
      </c>
      <c r="N116">
        <v>39097.033726000001</v>
      </c>
      <c r="O116">
        <v>185174.277714</v>
      </c>
      <c r="P116">
        <v>535.27878999999996</v>
      </c>
      <c r="Q116">
        <v>272.636619</v>
      </c>
      <c r="R116">
        <v>2000</v>
      </c>
      <c r="S116">
        <v>10</v>
      </c>
      <c r="T116">
        <v>0.99</v>
      </c>
      <c r="U116">
        <v>0.60759585802930494</v>
      </c>
    </row>
    <row r="117" spans="1:21" x14ac:dyDescent="0.2">
      <c r="A117" s="16" t="s">
        <v>11</v>
      </c>
      <c r="B117">
        <v>4</v>
      </c>
      <c r="C117">
        <v>277.19927995400002</v>
      </c>
      <c r="D117">
        <v>42304</v>
      </c>
      <c r="E117">
        <v>92.052800000000005</v>
      </c>
      <c r="F117">
        <v>56.025399999999998</v>
      </c>
      <c r="G117">
        <v>71.220600000000005</v>
      </c>
      <c r="H117">
        <v>28.779399999999999</v>
      </c>
      <c r="I117">
        <v>105</v>
      </c>
      <c r="J117">
        <v>100</v>
      </c>
      <c r="K117">
        <v>100</v>
      </c>
      <c r="L117">
        <v>100</v>
      </c>
      <c r="M117">
        <v>224960.80551100001</v>
      </c>
      <c r="N117">
        <v>39097.033726000001</v>
      </c>
      <c r="O117">
        <v>185328.635385</v>
      </c>
      <c r="P117">
        <v>535.13639999999998</v>
      </c>
      <c r="Q117">
        <v>273.33366699999999</v>
      </c>
      <c r="R117">
        <v>2000</v>
      </c>
      <c r="S117">
        <v>10</v>
      </c>
      <c r="T117">
        <v>0.99</v>
      </c>
      <c r="U117">
        <v>0.6086224427719743</v>
      </c>
    </row>
    <row r="118" spans="1:21" x14ac:dyDescent="0.2">
      <c r="A118" s="16" t="s">
        <v>11</v>
      </c>
      <c r="B118">
        <v>4</v>
      </c>
      <c r="C118">
        <v>275.58046285900002</v>
      </c>
      <c r="D118">
        <v>42304</v>
      </c>
      <c r="E118">
        <v>92.052800000000005</v>
      </c>
      <c r="F118">
        <v>56.209800000000001</v>
      </c>
      <c r="G118">
        <v>71.344499999999996</v>
      </c>
      <c r="H118">
        <v>28.6555</v>
      </c>
      <c r="I118">
        <v>105</v>
      </c>
      <c r="J118">
        <v>100</v>
      </c>
      <c r="K118">
        <v>100</v>
      </c>
      <c r="L118">
        <v>100</v>
      </c>
      <c r="M118">
        <v>223775.739524</v>
      </c>
      <c r="N118">
        <v>39097.033726000001</v>
      </c>
      <c r="O118">
        <v>184143.60250800001</v>
      </c>
      <c r="P118">
        <v>535.10329000000002</v>
      </c>
      <c r="Q118">
        <v>272.71074499999997</v>
      </c>
      <c r="R118">
        <v>2000</v>
      </c>
      <c r="S118">
        <v>10</v>
      </c>
      <c r="T118">
        <v>0.99</v>
      </c>
      <c r="U118">
        <v>0.61062564093650595</v>
      </c>
    </row>
    <row r="119" spans="1:21" x14ac:dyDescent="0.2">
      <c r="A119" s="16" t="s">
        <v>11</v>
      </c>
      <c r="B119">
        <v>4</v>
      </c>
      <c r="C119">
        <v>275.22211293700002</v>
      </c>
      <c r="D119">
        <v>42304</v>
      </c>
      <c r="E119">
        <v>92.052800000000005</v>
      </c>
      <c r="F119">
        <v>56.186199999999999</v>
      </c>
      <c r="G119">
        <v>71.239900000000006</v>
      </c>
      <c r="H119">
        <v>28.760100000000001</v>
      </c>
      <c r="I119">
        <v>105</v>
      </c>
      <c r="J119">
        <v>100</v>
      </c>
      <c r="K119">
        <v>100</v>
      </c>
      <c r="L119">
        <v>100</v>
      </c>
      <c r="M119">
        <v>223957.76800499999</v>
      </c>
      <c r="N119">
        <v>39097.033726000001</v>
      </c>
      <c r="O119">
        <v>184325.91462900001</v>
      </c>
      <c r="P119">
        <v>534.81965000000002</v>
      </c>
      <c r="Q119">
        <v>273.163456</v>
      </c>
      <c r="R119">
        <v>2000</v>
      </c>
      <c r="S119">
        <v>10</v>
      </c>
      <c r="T119">
        <v>0.99</v>
      </c>
      <c r="U119">
        <v>0.61036926633410382</v>
      </c>
    </row>
    <row r="120" spans="1:21" x14ac:dyDescent="0.2">
      <c r="A120" s="16" t="s">
        <v>11</v>
      </c>
      <c r="B120">
        <v>4</v>
      </c>
      <c r="C120">
        <v>275.89178146699999</v>
      </c>
      <c r="D120">
        <v>42304</v>
      </c>
      <c r="E120">
        <v>92.052800000000005</v>
      </c>
      <c r="F120">
        <v>56.058500000000002</v>
      </c>
      <c r="G120">
        <v>71.44</v>
      </c>
      <c r="H120">
        <v>28.56</v>
      </c>
      <c r="I120">
        <v>105</v>
      </c>
      <c r="J120">
        <v>100</v>
      </c>
      <c r="K120">
        <v>100</v>
      </c>
      <c r="L120">
        <v>100</v>
      </c>
      <c r="M120">
        <v>224613.37909100001</v>
      </c>
      <c r="N120">
        <v>39097.033726000001</v>
      </c>
      <c r="O120">
        <v>184981.272765</v>
      </c>
      <c r="P120">
        <v>535.07259999999997</v>
      </c>
      <c r="Q120">
        <v>272.44780600000001</v>
      </c>
      <c r="R120">
        <v>2000</v>
      </c>
      <c r="S120">
        <v>10</v>
      </c>
      <c r="T120">
        <v>0.99</v>
      </c>
      <c r="U120">
        <v>0.6089820190151739</v>
      </c>
    </row>
    <row r="121" spans="1:21" x14ac:dyDescent="0.2">
      <c r="A121" s="16" t="s">
        <v>11</v>
      </c>
      <c r="B121">
        <v>4</v>
      </c>
      <c r="C121">
        <v>274.29931264300001</v>
      </c>
      <c r="D121">
        <v>42304</v>
      </c>
      <c r="E121">
        <v>92.052800000000005</v>
      </c>
      <c r="F121">
        <v>55.921399999999998</v>
      </c>
      <c r="G121">
        <v>71.374200000000002</v>
      </c>
      <c r="H121">
        <v>28.625800000000002</v>
      </c>
      <c r="I121">
        <v>105</v>
      </c>
      <c r="J121">
        <v>100</v>
      </c>
      <c r="K121">
        <v>100</v>
      </c>
      <c r="L121">
        <v>100</v>
      </c>
      <c r="M121">
        <v>225244.22500199999</v>
      </c>
      <c r="N121">
        <v>39097.033726000001</v>
      </c>
      <c r="O121">
        <v>185611.32506599999</v>
      </c>
      <c r="P121">
        <v>535.86621000000002</v>
      </c>
      <c r="Q121">
        <v>272.77807300000001</v>
      </c>
      <c r="R121">
        <v>2000</v>
      </c>
      <c r="S121">
        <v>10</v>
      </c>
      <c r="T121">
        <v>0.99</v>
      </c>
      <c r="U121">
        <v>0.60749265638850747</v>
      </c>
    </row>
    <row r="122" spans="1:21" x14ac:dyDescent="0.2">
      <c r="A122" s="16" t="s">
        <v>11</v>
      </c>
      <c r="B122">
        <v>4</v>
      </c>
      <c r="C122">
        <v>275.21814744800002</v>
      </c>
      <c r="D122">
        <v>42304</v>
      </c>
      <c r="E122">
        <v>92.052800000000005</v>
      </c>
      <c r="F122">
        <v>56.023099999999999</v>
      </c>
      <c r="G122">
        <v>71.160300000000007</v>
      </c>
      <c r="H122">
        <v>28.839700000000001</v>
      </c>
      <c r="I122">
        <v>105</v>
      </c>
      <c r="J122">
        <v>100</v>
      </c>
      <c r="K122">
        <v>100</v>
      </c>
      <c r="L122">
        <v>100</v>
      </c>
      <c r="M122">
        <v>224890.89152599999</v>
      </c>
      <c r="N122">
        <v>39097.033726000001</v>
      </c>
      <c r="O122">
        <v>185258.37210000001</v>
      </c>
      <c r="P122">
        <v>535.48569999999995</v>
      </c>
      <c r="Q122">
        <v>273.21846799999997</v>
      </c>
      <c r="R122">
        <v>2000</v>
      </c>
      <c r="S122">
        <v>10</v>
      </c>
      <c r="T122">
        <v>0.99</v>
      </c>
      <c r="U122">
        <v>0.60859745711157076</v>
      </c>
    </row>
    <row r="123" spans="1:21" x14ac:dyDescent="0.2">
      <c r="A123" s="16" t="s">
        <v>11</v>
      </c>
      <c r="B123">
        <v>4</v>
      </c>
      <c r="C123">
        <v>276.36070961399997</v>
      </c>
      <c r="D123">
        <v>42304</v>
      </c>
      <c r="E123">
        <v>92.052800000000005</v>
      </c>
      <c r="F123">
        <v>55.933199999999999</v>
      </c>
      <c r="G123">
        <v>71.274600000000007</v>
      </c>
      <c r="H123">
        <v>28.7254</v>
      </c>
      <c r="I123">
        <v>105</v>
      </c>
      <c r="J123">
        <v>100</v>
      </c>
      <c r="K123">
        <v>100</v>
      </c>
      <c r="L123">
        <v>100</v>
      </c>
      <c r="M123">
        <v>224391.310402</v>
      </c>
      <c r="N123">
        <v>39097.033726000001</v>
      </c>
      <c r="O123">
        <v>184758.457276</v>
      </c>
      <c r="P123">
        <v>535.81939999999997</v>
      </c>
      <c r="Q123">
        <v>273.131552</v>
      </c>
      <c r="R123">
        <v>2000</v>
      </c>
      <c r="S123">
        <v>10</v>
      </c>
      <c r="T123">
        <v>0.99</v>
      </c>
      <c r="U123">
        <v>0.60762084368970848</v>
      </c>
    </row>
    <row r="124" spans="1:21" x14ac:dyDescent="0.2">
      <c r="A124" s="16" t="s">
        <v>11</v>
      </c>
      <c r="B124">
        <v>4</v>
      </c>
      <c r="C124">
        <v>277.98798831400001</v>
      </c>
      <c r="D124">
        <v>42304</v>
      </c>
      <c r="E124">
        <v>92.052800000000005</v>
      </c>
      <c r="F124">
        <v>56.101100000000002</v>
      </c>
      <c r="G124">
        <v>71.200400000000002</v>
      </c>
      <c r="H124">
        <v>28.799600000000002</v>
      </c>
      <c r="I124">
        <v>105</v>
      </c>
      <c r="J124">
        <v>100</v>
      </c>
      <c r="K124">
        <v>100</v>
      </c>
      <c r="L124">
        <v>100</v>
      </c>
      <c r="M124">
        <v>224422.045698</v>
      </c>
      <c r="N124">
        <v>39097.033726000001</v>
      </c>
      <c r="O124">
        <v>184790.04804200001</v>
      </c>
      <c r="P124">
        <v>534.96393</v>
      </c>
      <c r="Q124">
        <v>273.32766900000001</v>
      </c>
      <c r="R124">
        <v>2000</v>
      </c>
      <c r="S124">
        <v>10</v>
      </c>
      <c r="T124">
        <v>0.99</v>
      </c>
      <c r="U124">
        <v>0.60944479689917086</v>
      </c>
    </row>
    <row r="125" spans="1:21" x14ac:dyDescent="0.2">
      <c r="A125" s="16" t="s">
        <v>11</v>
      </c>
      <c r="B125">
        <v>4</v>
      </c>
      <c r="C125">
        <v>276.46741456799998</v>
      </c>
      <c r="D125">
        <v>42304</v>
      </c>
      <c r="E125">
        <v>92.052800000000005</v>
      </c>
      <c r="F125">
        <v>56.129399999999997</v>
      </c>
      <c r="G125">
        <v>71.198099999999997</v>
      </c>
      <c r="H125">
        <v>28.8019</v>
      </c>
      <c r="I125">
        <v>105</v>
      </c>
      <c r="J125">
        <v>100</v>
      </c>
      <c r="K125">
        <v>100</v>
      </c>
      <c r="L125">
        <v>100</v>
      </c>
      <c r="M125">
        <v>223927.67009299999</v>
      </c>
      <c r="N125">
        <v>39097.033726000001</v>
      </c>
      <c r="O125">
        <v>184294.823497</v>
      </c>
      <c r="P125">
        <v>535.81286999999998</v>
      </c>
      <c r="Q125">
        <v>273.17634800000002</v>
      </c>
      <c r="R125">
        <v>2000</v>
      </c>
      <c r="S125">
        <v>10</v>
      </c>
      <c r="T125">
        <v>0.99</v>
      </c>
      <c r="U125">
        <v>0.60975222915544114</v>
      </c>
    </row>
    <row r="126" spans="1:21" x14ac:dyDescent="0.2">
      <c r="A126" s="16" t="s">
        <v>11</v>
      </c>
      <c r="B126">
        <v>4</v>
      </c>
      <c r="C126">
        <v>275.943206288</v>
      </c>
      <c r="D126">
        <v>42304</v>
      </c>
      <c r="E126">
        <v>92.052800000000005</v>
      </c>
      <c r="F126">
        <v>56.0349</v>
      </c>
      <c r="G126">
        <v>71.419499999999999</v>
      </c>
      <c r="H126">
        <v>28.580500000000001</v>
      </c>
      <c r="I126">
        <v>105</v>
      </c>
      <c r="J126">
        <v>100</v>
      </c>
      <c r="K126">
        <v>100</v>
      </c>
      <c r="L126">
        <v>100</v>
      </c>
      <c r="M126">
        <v>223778.31819799999</v>
      </c>
      <c r="N126">
        <v>39097.033726000001</v>
      </c>
      <c r="O126">
        <v>184145.715452</v>
      </c>
      <c r="P126">
        <v>535.56902000000002</v>
      </c>
      <c r="Q126">
        <v>272.61118299999998</v>
      </c>
      <c r="R126">
        <v>2000</v>
      </c>
      <c r="S126">
        <v>10</v>
      </c>
      <c r="T126">
        <v>0.99</v>
      </c>
      <c r="U126">
        <v>0.60872564441277177</v>
      </c>
    </row>
    <row r="127" spans="1:21" x14ac:dyDescent="0.2">
      <c r="A127" s="16" t="s">
        <v>11</v>
      </c>
      <c r="B127">
        <v>4</v>
      </c>
      <c r="C127">
        <v>276.26216072300002</v>
      </c>
      <c r="D127">
        <v>42304</v>
      </c>
      <c r="E127">
        <v>92.052800000000005</v>
      </c>
      <c r="F127">
        <v>56.266500000000001</v>
      </c>
      <c r="G127">
        <v>71.024699999999996</v>
      </c>
      <c r="H127">
        <v>28.975300000000001</v>
      </c>
      <c r="I127">
        <v>105</v>
      </c>
      <c r="J127">
        <v>100</v>
      </c>
      <c r="K127">
        <v>100</v>
      </c>
      <c r="L127">
        <v>100</v>
      </c>
      <c r="M127">
        <v>223571.63404899999</v>
      </c>
      <c r="N127">
        <v>39097.033726000001</v>
      </c>
      <c r="O127">
        <v>183938.648923</v>
      </c>
      <c r="P127">
        <v>535.95140000000004</v>
      </c>
      <c r="Q127">
        <v>273.92904499999997</v>
      </c>
      <c r="R127">
        <v>2000</v>
      </c>
      <c r="S127">
        <v>10</v>
      </c>
      <c r="T127">
        <v>0.99</v>
      </c>
      <c r="U127">
        <v>0.61124159178210768</v>
      </c>
    </row>
    <row r="128" spans="1:21" x14ac:dyDescent="0.2">
      <c r="A128" s="16" t="s">
        <v>11</v>
      </c>
      <c r="B128">
        <v>4</v>
      </c>
      <c r="C128">
        <v>276.41470721600001</v>
      </c>
      <c r="D128">
        <v>42304</v>
      </c>
      <c r="E128">
        <v>92.052800000000005</v>
      </c>
      <c r="F128">
        <v>56.103400000000001</v>
      </c>
      <c r="G128">
        <v>71.188999999999993</v>
      </c>
      <c r="H128">
        <v>28.811</v>
      </c>
      <c r="I128">
        <v>105</v>
      </c>
      <c r="J128">
        <v>100</v>
      </c>
      <c r="K128">
        <v>100</v>
      </c>
      <c r="L128">
        <v>100</v>
      </c>
      <c r="M128">
        <v>224355.99884399999</v>
      </c>
      <c r="N128">
        <v>39097.033726000001</v>
      </c>
      <c r="O128">
        <v>184723.915928</v>
      </c>
      <c r="P128">
        <v>535.04918999999995</v>
      </c>
      <c r="Q128">
        <v>273.461364</v>
      </c>
      <c r="R128">
        <v>2000</v>
      </c>
      <c r="S128">
        <v>10</v>
      </c>
      <c r="T128">
        <v>0.99</v>
      </c>
      <c r="U128">
        <v>0.60946978255957451</v>
      </c>
    </row>
    <row r="129" spans="1:21" x14ac:dyDescent="0.2">
      <c r="A129" s="16" t="s">
        <v>11</v>
      </c>
      <c r="B129">
        <v>4</v>
      </c>
      <c r="C129">
        <v>276.631082451</v>
      </c>
      <c r="D129">
        <v>42304</v>
      </c>
      <c r="E129">
        <v>92.052800000000005</v>
      </c>
      <c r="F129">
        <v>56.143599999999999</v>
      </c>
      <c r="G129">
        <v>71.243300000000005</v>
      </c>
      <c r="H129">
        <v>28.756699999999999</v>
      </c>
      <c r="I129">
        <v>105</v>
      </c>
      <c r="J129">
        <v>100</v>
      </c>
      <c r="K129">
        <v>100</v>
      </c>
      <c r="L129">
        <v>100</v>
      </c>
      <c r="M129">
        <v>223629.15558300001</v>
      </c>
      <c r="N129">
        <v>39097.033726000001</v>
      </c>
      <c r="O129">
        <v>183996.049467</v>
      </c>
      <c r="P129">
        <v>536.07239000000004</v>
      </c>
      <c r="Q129">
        <v>273.043792</v>
      </c>
      <c r="R129">
        <v>2000</v>
      </c>
      <c r="S129">
        <v>10</v>
      </c>
      <c r="T129">
        <v>0.99</v>
      </c>
      <c r="U129">
        <v>0.60990648845010687</v>
      </c>
    </row>
    <row r="130" spans="1:21" x14ac:dyDescent="0.2">
      <c r="A130" s="16" t="s">
        <v>11</v>
      </c>
      <c r="B130">
        <v>4</v>
      </c>
      <c r="C130">
        <v>275.62065181600002</v>
      </c>
      <c r="D130">
        <v>42304</v>
      </c>
      <c r="E130">
        <v>92.052800000000005</v>
      </c>
      <c r="F130">
        <v>56.153100000000002</v>
      </c>
      <c r="G130">
        <v>70.793499999999995</v>
      </c>
      <c r="H130">
        <v>29.206499999999998</v>
      </c>
      <c r="I130">
        <v>105</v>
      </c>
      <c r="J130">
        <v>100</v>
      </c>
      <c r="K130">
        <v>100</v>
      </c>
      <c r="L130">
        <v>100</v>
      </c>
      <c r="M130">
        <v>224073.93388999999</v>
      </c>
      <c r="N130">
        <v>39097.033726000001</v>
      </c>
      <c r="O130">
        <v>184441.150754</v>
      </c>
      <c r="P130">
        <v>535.74941000000001</v>
      </c>
      <c r="Q130">
        <v>274.171852</v>
      </c>
      <c r="R130">
        <v>2000</v>
      </c>
      <c r="S130">
        <v>10</v>
      </c>
      <c r="T130">
        <v>0.99</v>
      </c>
      <c r="U130">
        <v>0.61000969009090433</v>
      </c>
    </row>
    <row r="131" spans="1:21" x14ac:dyDescent="0.2">
      <c r="A131" s="16" t="s">
        <v>11</v>
      </c>
      <c r="B131">
        <v>4</v>
      </c>
      <c r="C131">
        <v>275.57600298900002</v>
      </c>
      <c r="D131">
        <v>42304</v>
      </c>
      <c r="E131">
        <v>92.052800000000005</v>
      </c>
      <c r="F131">
        <v>56.056199999999997</v>
      </c>
      <c r="G131">
        <v>71.371300000000005</v>
      </c>
      <c r="H131">
        <v>28.628699999999998</v>
      </c>
      <c r="I131">
        <v>105</v>
      </c>
      <c r="J131">
        <v>100</v>
      </c>
      <c r="K131">
        <v>100</v>
      </c>
      <c r="L131">
        <v>100</v>
      </c>
      <c r="M131">
        <v>224148.343196</v>
      </c>
      <c r="N131">
        <v>39097.033726000001</v>
      </c>
      <c r="O131">
        <v>184516.22623</v>
      </c>
      <c r="P131">
        <v>535.08324000000005</v>
      </c>
      <c r="Q131">
        <v>273.00460399999997</v>
      </c>
      <c r="R131">
        <v>2000</v>
      </c>
      <c r="S131">
        <v>10</v>
      </c>
      <c r="T131">
        <v>0.99</v>
      </c>
      <c r="U131">
        <v>0.60895703335477025</v>
      </c>
    </row>
    <row r="132" spans="1:21" x14ac:dyDescent="0.2">
      <c r="A132" s="16" t="s">
        <v>11</v>
      </c>
      <c r="B132">
        <v>4</v>
      </c>
      <c r="C132">
        <v>275.235732724</v>
      </c>
      <c r="D132">
        <v>42304</v>
      </c>
      <c r="E132">
        <v>92.052800000000005</v>
      </c>
      <c r="F132">
        <v>56.072699999999998</v>
      </c>
      <c r="G132">
        <v>71.076300000000003</v>
      </c>
      <c r="H132">
        <v>28.9237</v>
      </c>
      <c r="I132">
        <v>105</v>
      </c>
      <c r="J132">
        <v>100</v>
      </c>
      <c r="K132">
        <v>100</v>
      </c>
      <c r="L132">
        <v>100</v>
      </c>
      <c r="M132">
        <v>223973.01037800001</v>
      </c>
      <c r="N132">
        <v>39097.033726000001</v>
      </c>
      <c r="O132">
        <v>184340.689702</v>
      </c>
      <c r="P132">
        <v>535.28695000000005</v>
      </c>
      <c r="Q132">
        <v>273.80987699999997</v>
      </c>
      <c r="R132">
        <v>2000</v>
      </c>
      <c r="S132">
        <v>10</v>
      </c>
      <c r="T132">
        <v>0.99</v>
      </c>
      <c r="U132">
        <v>0.60913627830983952</v>
      </c>
    </row>
    <row r="133" spans="1:21" x14ac:dyDescent="0.2">
      <c r="A133" s="16" t="s">
        <v>11</v>
      </c>
      <c r="B133">
        <v>4</v>
      </c>
      <c r="C133">
        <v>275.8527143</v>
      </c>
      <c r="D133">
        <v>42304</v>
      </c>
      <c r="E133">
        <v>92.052800000000005</v>
      </c>
      <c r="F133">
        <v>56.0349</v>
      </c>
      <c r="G133">
        <v>71.254999999999995</v>
      </c>
      <c r="H133">
        <v>28.745000000000001</v>
      </c>
      <c r="I133">
        <v>105</v>
      </c>
      <c r="J133">
        <v>100</v>
      </c>
      <c r="K133">
        <v>100</v>
      </c>
      <c r="L133">
        <v>100</v>
      </c>
      <c r="M133">
        <v>224962.85065400001</v>
      </c>
      <c r="N133">
        <v>39097.033726000001</v>
      </c>
      <c r="O133">
        <v>185331.05407799999</v>
      </c>
      <c r="P133">
        <v>534.76284999999996</v>
      </c>
      <c r="Q133">
        <v>272.74780500000003</v>
      </c>
      <c r="R133">
        <v>2000</v>
      </c>
      <c r="S133">
        <v>10</v>
      </c>
      <c r="T133">
        <v>0.99</v>
      </c>
      <c r="U133">
        <v>0.60872564441277177</v>
      </c>
    </row>
    <row r="134" spans="1:21" x14ac:dyDescent="0.2">
      <c r="A134" s="16" t="s">
        <v>11</v>
      </c>
      <c r="B134">
        <v>4</v>
      </c>
      <c r="C134">
        <v>276.70137713100002</v>
      </c>
      <c r="D134">
        <v>42304</v>
      </c>
      <c r="E134">
        <v>92.052800000000005</v>
      </c>
      <c r="F134">
        <v>55.9923</v>
      </c>
      <c r="G134">
        <v>70.958799999999997</v>
      </c>
      <c r="H134">
        <v>29.0412</v>
      </c>
      <c r="I134">
        <v>105</v>
      </c>
      <c r="J134">
        <v>100</v>
      </c>
      <c r="K134">
        <v>100</v>
      </c>
      <c r="L134">
        <v>100</v>
      </c>
      <c r="M134">
        <v>224260.582861</v>
      </c>
      <c r="N134">
        <v>39097.033726000001</v>
      </c>
      <c r="O134">
        <v>184628.18904500001</v>
      </c>
      <c r="P134">
        <v>535.36009000000001</v>
      </c>
      <c r="Q134">
        <v>274.00355400000001</v>
      </c>
      <c r="R134">
        <v>2000</v>
      </c>
      <c r="S134">
        <v>10</v>
      </c>
      <c r="T134">
        <v>0.99</v>
      </c>
      <c r="U134">
        <v>0.60826286652877481</v>
      </c>
    </row>
    <row r="135" spans="1:21" x14ac:dyDescent="0.2">
      <c r="A135" s="16" t="s">
        <v>11</v>
      </c>
      <c r="B135">
        <v>4</v>
      </c>
      <c r="C135">
        <v>276.53230098</v>
      </c>
      <c r="D135">
        <v>42304</v>
      </c>
      <c r="E135">
        <v>92.052800000000005</v>
      </c>
      <c r="F135">
        <v>56.098700000000001</v>
      </c>
      <c r="G135">
        <v>71.527900000000002</v>
      </c>
      <c r="H135">
        <v>28.472100000000001</v>
      </c>
      <c r="I135">
        <v>105</v>
      </c>
      <c r="J135">
        <v>100</v>
      </c>
      <c r="K135">
        <v>100</v>
      </c>
      <c r="L135">
        <v>100</v>
      </c>
      <c r="M135">
        <v>223735.71510599999</v>
      </c>
      <c r="N135">
        <v>39097.033726000001</v>
      </c>
      <c r="O135">
        <v>184104.08958</v>
      </c>
      <c r="P135">
        <v>534.59180000000003</v>
      </c>
      <c r="Q135">
        <v>272.41913799999998</v>
      </c>
      <c r="R135">
        <v>2000</v>
      </c>
      <c r="S135">
        <v>10</v>
      </c>
      <c r="T135">
        <v>0.99</v>
      </c>
      <c r="U135">
        <v>0.60941872490570625</v>
      </c>
    </row>
    <row r="136" spans="1:21" x14ac:dyDescent="0.2">
      <c r="A136" s="16" t="s">
        <v>11</v>
      </c>
      <c r="B136">
        <v>4</v>
      </c>
      <c r="C136">
        <v>274.25326930300002</v>
      </c>
      <c r="D136">
        <v>42304</v>
      </c>
      <c r="E136">
        <v>92.052800000000005</v>
      </c>
      <c r="F136">
        <v>55.8127</v>
      </c>
      <c r="G136">
        <v>71.293000000000006</v>
      </c>
      <c r="H136">
        <v>28.707000000000001</v>
      </c>
      <c r="I136">
        <v>105</v>
      </c>
      <c r="J136">
        <v>100</v>
      </c>
      <c r="K136">
        <v>100</v>
      </c>
      <c r="L136">
        <v>100</v>
      </c>
      <c r="M136">
        <v>224652.043298</v>
      </c>
      <c r="N136">
        <v>39097.033726000001</v>
      </c>
      <c r="O136">
        <v>185019.42724200001</v>
      </c>
      <c r="P136">
        <v>535.58232999999996</v>
      </c>
      <c r="Q136">
        <v>273.03321799999998</v>
      </c>
      <c r="R136">
        <v>2000</v>
      </c>
      <c r="S136">
        <v>10</v>
      </c>
      <c r="T136">
        <v>0.99</v>
      </c>
      <c r="U136">
        <v>0.60631181235117237</v>
      </c>
    </row>
    <row r="137" spans="1:21" x14ac:dyDescent="0.2">
      <c r="A137" s="16" t="s">
        <v>11</v>
      </c>
      <c r="B137">
        <v>4</v>
      </c>
      <c r="C137">
        <v>276.088530558</v>
      </c>
      <c r="D137">
        <v>42304</v>
      </c>
      <c r="E137">
        <v>92.052800000000005</v>
      </c>
      <c r="F137">
        <v>56.1389</v>
      </c>
      <c r="G137">
        <v>71.194599999999994</v>
      </c>
      <c r="H137">
        <v>28.805399999999999</v>
      </c>
      <c r="I137">
        <v>105</v>
      </c>
      <c r="J137">
        <v>100</v>
      </c>
      <c r="K137">
        <v>100</v>
      </c>
      <c r="L137">
        <v>100</v>
      </c>
      <c r="M137">
        <v>223911.67013700001</v>
      </c>
      <c r="N137">
        <v>39097.033726000001</v>
      </c>
      <c r="O137">
        <v>184279.09289100001</v>
      </c>
      <c r="P137">
        <v>535.54351999999994</v>
      </c>
      <c r="Q137">
        <v>273.35274099999998</v>
      </c>
      <c r="R137">
        <v>2000</v>
      </c>
      <c r="S137">
        <v>10</v>
      </c>
      <c r="T137">
        <v>0.99</v>
      </c>
      <c r="U137">
        <v>0.60985543079623861</v>
      </c>
    </row>
    <row r="138" spans="1:21" x14ac:dyDescent="0.2">
      <c r="A138" s="16" t="s">
        <v>11</v>
      </c>
      <c r="B138">
        <v>4</v>
      </c>
      <c r="C138">
        <v>276.14310838300003</v>
      </c>
      <c r="D138">
        <v>42304</v>
      </c>
      <c r="E138">
        <v>92.052800000000005</v>
      </c>
      <c r="F138">
        <v>56.2453</v>
      </c>
      <c r="G138">
        <v>71.131399999999999</v>
      </c>
      <c r="H138">
        <v>28.868600000000001</v>
      </c>
      <c r="I138">
        <v>105</v>
      </c>
      <c r="J138">
        <v>100</v>
      </c>
      <c r="K138">
        <v>100</v>
      </c>
      <c r="L138">
        <v>100</v>
      </c>
      <c r="M138">
        <v>224194.854635</v>
      </c>
      <c r="N138">
        <v>39097.033726000001</v>
      </c>
      <c r="O138">
        <v>184562.656739</v>
      </c>
      <c r="P138">
        <v>535.16417000000001</v>
      </c>
      <c r="Q138">
        <v>273.31751600000001</v>
      </c>
      <c r="R138">
        <v>2000</v>
      </c>
      <c r="S138">
        <v>10</v>
      </c>
      <c r="T138">
        <v>0.99</v>
      </c>
      <c r="U138">
        <v>0.61101128917317016</v>
      </c>
    </row>
    <row r="139" spans="1:21" x14ac:dyDescent="0.2">
      <c r="A139" s="16" t="s">
        <v>11</v>
      </c>
      <c r="B139">
        <v>4</v>
      </c>
      <c r="C139">
        <v>275.08482600500002</v>
      </c>
      <c r="D139">
        <v>42304</v>
      </c>
      <c r="E139">
        <v>92.052800000000005</v>
      </c>
      <c r="F139">
        <v>56.0869</v>
      </c>
      <c r="G139">
        <v>71.458699999999993</v>
      </c>
      <c r="H139">
        <v>28.5413</v>
      </c>
      <c r="I139">
        <v>105</v>
      </c>
      <c r="J139">
        <v>100</v>
      </c>
      <c r="K139">
        <v>100</v>
      </c>
      <c r="L139">
        <v>100</v>
      </c>
      <c r="M139">
        <v>224205.12515899999</v>
      </c>
      <c r="N139">
        <v>39097.033726000001</v>
      </c>
      <c r="O139">
        <v>184572.71430299999</v>
      </c>
      <c r="P139">
        <v>535.37712999999997</v>
      </c>
      <c r="Q139">
        <v>272.76292999999998</v>
      </c>
      <c r="R139">
        <v>2000</v>
      </c>
      <c r="S139">
        <v>10</v>
      </c>
      <c r="T139">
        <v>0.99</v>
      </c>
      <c r="U139">
        <v>0.60929053760450524</v>
      </c>
    </row>
    <row r="140" spans="1:21" x14ac:dyDescent="0.2">
      <c r="A140" s="16" t="s">
        <v>11</v>
      </c>
      <c r="B140">
        <v>4</v>
      </c>
      <c r="C140">
        <v>275.47021758</v>
      </c>
      <c r="D140">
        <v>42304</v>
      </c>
      <c r="E140">
        <v>92.052800000000005</v>
      </c>
      <c r="F140">
        <v>56.0396</v>
      </c>
      <c r="G140">
        <v>71.400899999999993</v>
      </c>
      <c r="H140">
        <v>28.5991</v>
      </c>
      <c r="I140">
        <v>105</v>
      </c>
      <c r="J140">
        <v>100</v>
      </c>
      <c r="K140">
        <v>100</v>
      </c>
      <c r="L140">
        <v>100</v>
      </c>
      <c r="M140">
        <v>224625.20597700001</v>
      </c>
      <c r="N140">
        <v>39097.033726000001</v>
      </c>
      <c r="O140">
        <v>184993.36535099999</v>
      </c>
      <c r="P140">
        <v>534.80690000000004</v>
      </c>
      <c r="Q140">
        <v>272.44590199999999</v>
      </c>
      <c r="R140">
        <v>2000</v>
      </c>
      <c r="S140">
        <v>10</v>
      </c>
      <c r="T140">
        <v>0.99</v>
      </c>
      <c r="U140">
        <v>0.60877670206664003</v>
      </c>
    </row>
    <row r="141" spans="1:21" x14ac:dyDescent="0.2">
      <c r="A141" s="16" t="s">
        <v>11</v>
      </c>
      <c r="B141">
        <v>4</v>
      </c>
      <c r="C141">
        <v>275.10005241699997</v>
      </c>
      <c r="D141">
        <v>42304</v>
      </c>
      <c r="E141">
        <v>92.052800000000005</v>
      </c>
      <c r="F141">
        <v>55.893099999999997</v>
      </c>
      <c r="G141">
        <v>71.241299999999995</v>
      </c>
      <c r="H141">
        <v>28.758700000000001</v>
      </c>
      <c r="I141">
        <v>105</v>
      </c>
      <c r="J141">
        <v>100</v>
      </c>
      <c r="K141">
        <v>100</v>
      </c>
      <c r="L141">
        <v>100</v>
      </c>
      <c r="M141">
        <v>225207.26936000001</v>
      </c>
      <c r="N141">
        <v>39097.033726000001</v>
      </c>
      <c r="O141">
        <v>185575.03212399999</v>
      </c>
      <c r="P141">
        <v>535.20351000000005</v>
      </c>
      <c r="Q141">
        <v>273.13552199999998</v>
      </c>
      <c r="R141">
        <v>2000</v>
      </c>
      <c r="S141">
        <v>10</v>
      </c>
      <c r="T141">
        <v>0.99</v>
      </c>
      <c r="U141">
        <v>0.60718522413223708</v>
      </c>
    </row>
    <row r="142" spans="1:21" x14ac:dyDescent="0.2">
      <c r="A142" s="16" t="s">
        <v>10</v>
      </c>
      <c r="B142">
        <v>4</v>
      </c>
      <c r="C142">
        <v>162.131387348</v>
      </c>
      <c r="D142">
        <v>62936</v>
      </c>
      <c r="E142">
        <v>92.103099999999998</v>
      </c>
      <c r="F142">
        <v>51.735100000000003</v>
      </c>
      <c r="G142">
        <v>74.060199999999995</v>
      </c>
      <c r="H142">
        <v>25.939800000000002</v>
      </c>
      <c r="I142">
        <v>105</v>
      </c>
      <c r="J142">
        <v>100</v>
      </c>
      <c r="K142">
        <v>100</v>
      </c>
      <c r="L142">
        <v>100</v>
      </c>
      <c r="M142">
        <v>332740.28631400003</v>
      </c>
      <c r="N142">
        <v>57596.989624000002</v>
      </c>
      <c r="O142">
        <v>274336.00044999999</v>
      </c>
      <c r="P142">
        <v>807.29624000000001</v>
      </c>
      <c r="Q142">
        <v>265.71576099999999</v>
      </c>
      <c r="R142">
        <v>3000</v>
      </c>
      <c r="S142">
        <v>10</v>
      </c>
      <c r="T142">
        <v>0.99</v>
      </c>
      <c r="U142">
        <v>0.56170856355540699</v>
      </c>
    </row>
    <row r="143" spans="1:21" x14ac:dyDescent="0.2">
      <c r="A143" s="16" t="s">
        <v>10</v>
      </c>
      <c r="B143">
        <v>4</v>
      </c>
      <c r="C143">
        <v>161.57813185500001</v>
      </c>
      <c r="D143">
        <v>62936</v>
      </c>
      <c r="E143">
        <v>92.103099999999998</v>
      </c>
      <c r="F143">
        <v>51.774799999999999</v>
      </c>
      <c r="G143">
        <v>74.304100000000005</v>
      </c>
      <c r="H143">
        <v>25.695900000000002</v>
      </c>
      <c r="I143">
        <v>105</v>
      </c>
      <c r="J143">
        <v>100</v>
      </c>
      <c r="K143">
        <v>100</v>
      </c>
      <c r="L143">
        <v>100</v>
      </c>
      <c r="M143">
        <v>332620.69361299998</v>
      </c>
      <c r="N143">
        <v>57596.989624000002</v>
      </c>
      <c r="O143">
        <v>274216.23197899997</v>
      </c>
      <c r="P143">
        <v>807.47200999999995</v>
      </c>
      <c r="Q143">
        <v>264.88751400000001</v>
      </c>
      <c r="R143">
        <v>3000</v>
      </c>
      <c r="S143">
        <v>10</v>
      </c>
      <c r="T143">
        <v>0.99</v>
      </c>
      <c r="U143">
        <v>0.56213960225008719</v>
      </c>
    </row>
    <row r="144" spans="1:21" x14ac:dyDescent="0.2">
      <c r="A144" s="16" t="s">
        <v>10</v>
      </c>
      <c r="B144">
        <v>4</v>
      </c>
      <c r="C144">
        <v>163.38641838800001</v>
      </c>
      <c r="D144">
        <v>62936</v>
      </c>
      <c r="E144">
        <v>92.103099999999998</v>
      </c>
      <c r="F144">
        <v>51.657200000000003</v>
      </c>
      <c r="G144">
        <v>74.740899999999996</v>
      </c>
      <c r="H144">
        <v>25.2591</v>
      </c>
      <c r="I144">
        <v>105</v>
      </c>
      <c r="J144">
        <v>100</v>
      </c>
      <c r="K144">
        <v>100</v>
      </c>
      <c r="L144">
        <v>100</v>
      </c>
      <c r="M144">
        <v>333396.17616899998</v>
      </c>
      <c r="N144">
        <v>57596.989624000002</v>
      </c>
      <c r="O144">
        <v>274993.22959499998</v>
      </c>
      <c r="P144">
        <v>805.95695000000001</v>
      </c>
      <c r="Q144">
        <v>263.66330799999997</v>
      </c>
      <c r="R144">
        <v>3000</v>
      </c>
      <c r="S144">
        <v>10</v>
      </c>
      <c r="T144">
        <v>0.99</v>
      </c>
      <c r="U144">
        <v>0.56086277226282288</v>
      </c>
    </row>
    <row r="145" spans="1:21" x14ac:dyDescent="0.2">
      <c r="A145" s="16" t="s">
        <v>10</v>
      </c>
      <c r="B145">
        <v>4</v>
      </c>
      <c r="C145">
        <v>162.10294731400001</v>
      </c>
      <c r="D145">
        <v>62936</v>
      </c>
      <c r="E145">
        <v>92.103099999999998</v>
      </c>
      <c r="F145">
        <v>51.800199999999997</v>
      </c>
      <c r="G145">
        <v>74.3934</v>
      </c>
      <c r="H145">
        <v>25.6066</v>
      </c>
      <c r="I145">
        <v>105</v>
      </c>
      <c r="J145">
        <v>100</v>
      </c>
      <c r="K145">
        <v>100</v>
      </c>
      <c r="L145">
        <v>100</v>
      </c>
      <c r="M145">
        <v>331646.58962599997</v>
      </c>
      <c r="N145">
        <v>57596.989624000002</v>
      </c>
      <c r="O145">
        <v>273242.749862</v>
      </c>
      <c r="P145">
        <v>806.85014000000001</v>
      </c>
      <c r="Q145">
        <v>264.74804</v>
      </c>
      <c r="R145">
        <v>3000</v>
      </c>
      <c r="S145">
        <v>10</v>
      </c>
      <c r="T145">
        <v>0.99</v>
      </c>
      <c r="U145">
        <v>0.56241538015549963</v>
      </c>
    </row>
    <row r="146" spans="1:21" x14ac:dyDescent="0.2">
      <c r="A146" s="16" t="s">
        <v>10</v>
      </c>
      <c r="B146">
        <v>4</v>
      </c>
      <c r="C146">
        <v>162.89384530699999</v>
      </c>
      <c r="D146">
        <v>62936</v>
      </c>
      <c r="E146">
        <v>92.103099999999998</v>
      </c>
      <c r="F146">
        <v>51.824100000000001</v>
      </c>
      <c r="G146">
        <v>74.662700000000001</v>
      </c>
      <c r="H146">
        <v>25.337299999999999</v>
      </c>
      <c r="I146">
        <v>105</v>
      </c>
      <c r="J146">
        <v>100</v>
      </c>
      <c r="K146">
        <v>100</v>
      </c>
      <c r="L146">
        <v>100</v>
      </c>
      <c r="M146">
        <v>331521.64979900001</v>
      </c>
      <c r="N146">
        <v>57596.989624000002</v>
      </c>
      <c r="O146">
        <v>273118.01557500003</v>
      </c>
      <c r="P146">
        <v>806.64459999999997</v>
      </c>
      <c r="Q146">
        <v>264.00212299999998</v>
      </c>
      <c r="R146">
        <v>3000</v>
      </c>
      <c r="S146">
        <v>10</v>
      </c>
      <c r="T146">
        <v>0.99</v>
      </c>
      <c r="U146">
        <v>0.5626748719641359</v>
      </c>
    </row>
    <row r="147" spans="1:21" x14ac:dyDescent="0.2">
      <c r="A147" s="16" t="s">
        <v>10</v>
      </c>
      <c r="B147">
        <v>4</v>
      </c>
      <c r="C147">
        <v>164.34167547000001</v>
      </c>
      <c r="D147">
        <v>62936</v>
      </c>
      <c r="E147">
        <v>92.103099999999998</v>
      </c>
      <c r="F147">
        <v>51.898800000000001</v>
      </c>
      <c r="G147">
        <v>74.344099999999997</v>
      </c>
      <c r="H147">
        <v>25.655899999999999</v>
      </c>
      <c r="I147">
        <v>105</v>
      </c>
      <c r="J147">
        <v>100</v>
      </c>
      <c r="K147">
        <v>100</v>
      </c>
      <c r="L147">
        <v>100</v>
      </c>
      <c r="M147">
        <v>331798.85024900001</v>
      </c>
      <c r="N147">
        <v>57596.989624000002</v>
      </c>
      <c r="O147">
        <v>273395.17830500001</v>
      </c>
      <c r="P147">
        <v>806.68232</v>
      </c>
      <c r="Q147">
        <v>264.84680500000002</v>
      </c>
      <c r="R147">
        <v>3000</v>
      </c>
      <c r="S147">
        <v>10</v>
      </c>
      <c r="T147">
        <v>0.99</v>
      </c>
      <c r="U147">
        <v>0.56348591958359706</v>
      </c>
    </row>
    <row r="148" spans="1:21" x14ac:dyDescent="0.2">
      <c r="A148" s="16" t="s">
        <v>10</v>
      </c>
      <c r="B148">
        <v>4</v>
      </c>
      <c r="C148">
        <v>163.70587557499999</v>
      </c>
      <c r="D148">
        <v>62936</v>
      </c>
      <c r="E148">
        <v>92.103099999999998</v>
      </c>
      <c r="F148">
        <v>51.774799999999999</v>
      </c>
      <c r="G148">
        <v>74.522000000000006</v>
      </c>
      <c r="H148">
        <v>25.478000000000002</v>
      </c>
      <c r="I148">
        <v>105</v>
      </c>
      <c r="J148">
        <v>100</v>
      </c>
      <c r="K148">
        <v>100</v>
      </c>
      <c r="L148">
        <v>100</v>
      </c>
      <c r="M148">
        <v>332431.83705099998</v>
      </c>
      <c r="N148">
        <v>57596.989624000002</v>
      </c>
      <c r="O148">
        <v>274027.46491699998</v>
      </c>
      <c r="P148">
        <v>807.38251000000002</v>
      </c>
      <c r="Q148">
        <v>264.25484299999999</v>
      </c>
      <c r="R148">
        <v>3000</v>
      </c>
      <c r="S148">
        <v>10</v>
      </c>
      <c r="T148">
        <v>0.99</v>
      </c>
      <c r="U148">
        <v>0.56213960225008719</v>
      </c>
    </row>
    <row r="149" spans="1:21" x14ac:dyDescent="0.2">
      <c r="A149" s="16" t="s">
        <v>10</v>
      </c>
      <c r="B149">
        <v>4</v>
      </c>
      <c r="C149">
        <v>164.98968795100001</v>
      </c>
      <c r="D149">
        <v>62936</v>
      </c>
      <c r="E149">
        <v>92.103099999999998</v>
      </c>
      <c r="F149">
        <v>52.048099999999998</v>
      </c>
      <c r="G149">
        <v>74.319999999999993</v>
      </c>
      <c r="H149">
        <v>25.68</v>
      </c>
      <c r="I149">
        <v>105</v>
      </c>
      <c r="J149">
        <v>100</v>
      </c>
      <c r="K149">
        <v>100</v>
      </c>
      <c r="L149">
        <v>100</v>
      </c>
      <c r="M149">
        <v>331331.50703600002</v>
      </c>
      <c r="N149">
        <v>57596.989624000002</v>
      </c>
      <c r="O149">
        <v>272928.15876199998</v>
      </c>
      <c r="P149">
        <v>806.35865000000001</v>
      </c>
      <c r="Q149">
        <v>264.90833300000003</v>
      </c>
      <c r="R149">
        <v>3000</v>
      </c>
      <c r="S149">
        <v>10</v>
      </c>
      <c r="T149">
        <v>0.99</v>
      </c>
      <c r="U149">
        <v>0.56510692908273441</v>
      </c>
    </row>
    <row r="150" spans="1:21" x14ac:dyDescent="0.2">
      <c r="A150" s="16" t="s">
        <v>10</v>
      </c>
      <c r="B150">
        <v>4</v>
      </c>
      <c r="C150">
        <v>162.48246469399999</v>
      </c>
      <c r="D150">
        <v>62936</v>
      </c>
      <c r="E150">
        <v>92.103099999999998</v>
      </c>
      <c r="F150">
        <v>51.933700000000002</v>
      </c>
      <c r="G150">
        <v>74.303200000000004</v>
      </c>
      <c r="H150">
        <v>25.6968</v>
      </c>
      <c r="I150">
        <v>105</v>
      </c>
      <c r="J150">
        <v>100</v>
      </c>
      <c r="K150">
        <v>100</v>
      </c>
      <c r="L150">
        <v>100</v>
      </c>
      <c r="M150">
        <v>331944.87118900003</v>
      </c>
      <c r="N150">
        <v>57596.989624000002</v>
      </c>
      <c r="O150">
        <v>273541.15403500001</v>
      </c>
      <c r="P150">
        <v>806.72753</v>
      </c>
      <c r="Q150">
        <v>264.86292500000002</v>
      </c>
      <c r="R150">
        <v>3000</v>
      </c>
      <c r="S150">
        <v>10</v>
      </c>
      <c r="T150">
        <v>0.99</v>
      </c>
      <c r="U150">
        <v>0.56386484276859306</v>
      </c>
    </row>
    <row r="151" spans="1:21" x14ac:dyDescent="0.2">
      <c r="A151" s="16" t="s">
        <v>10</v>
      </c>
      <c r="B151">
        <v>4</v>
      </c>
      <c r="C151">
        <v>162.799495799</v>
      </c>
      <c r="D151">
        <v>62936</v>
      </c>
      <c r="E151">
        <v>92.103099999999998</v>
      </c>
      <c r="F151">
        <v>51.895600000000002</v>
      </c>
      <c r="G151">
        <v>74.4833</v>
      </c>
      <c r="H151">
        <v>25.5167</v>
      </c>
      <c r="I151">
        <v>105</v>
      </c>
      <c r="J151">
        <v>100</v>
      </c>
      <c r="K151">
        <v>100</v>
      </c>
      <c r="L151">
        <v>100</v>
      </c>
      <c r="M151">
        <v>332260.802501</v>
      </c>
      <c r="N151">
        <v>57596.989624000002</v>
      </c>
      <c r="O151">
        <v>273857.13720699999</v>
      </c>
      <c r="P151">
        <v>806.67566999999997</v>
      </c>
      <c r="Q151">
        <v>264.37837200000001</v>
      </c>
      <c r="R151">
        <v>3000</v>
      </c>
      <c r="S151">
        <v>10</v>
      </c>
      <c r="T151">
        <v>0.99</v>
      </c>
      <c r="U151">
        <v>0.56345117591047422</v>
      </c>
    </row>
    <row r="152" spans="1:21" x14ac:dyDescent="0.2">
      <c r="A152" s="16" t="s">
        <v>10</v>
      </c>
      <c r="B152">
        <v>4</v>
      </c>
      <c r="C152">
        <v>162.99200249500001</v>
      </c>
      <c r="D152">
        <v>62936</v>
      </c>
      <c r="E152">
        <v>92.103099999999998</v>
      </c>
      <c r="F152">
        <v>51.998899999999999</v>
      </c>
      <c r="G152">
        <v>74.466800000000006</v>
      </c>
      <c r="H152">
        <v>25.533200000000001</v>
      </c>
      <c r="I152">
        <v>105</v>
      </c>
      <c r="J152">
        <v>100</v>
      </c>
      <c r="K152">
        <v>100</v>
      </c>
      <c r="L152">
        <v>100</v>
      </c>
      <c r="M152">
        <v>331795.15959900001</v>
      </c>
      <c r="N152">
        <v>57596.989624000002</v>
      </c>
      <c r="O152">
        <v>273391.17223500001</v>
      </c>
      <c r="P152">
        <v>806.99774000000002</v>
      </c>
      <c r="Q152">
        <v>264.47109899999998</v>
      </c>
      <c r="R152">
        <v>3000</v>
      </c>
      <c r="S152">
        <v>10</v>
      </c>
      <c r="T152">
        <v>0.99</v>
      </c>
      <c r="U152">
        <v>0.56457274510847089</v>
      </c>
    </row>
    <row r="153" spans="1:21" x14ac:dyDescent="0.2">
      <c r="A153" s="16" t="s">
        <v>10</v>
      </c>
      <c r="B153">
        <v>4</v>
      </c>
      <c r="C153">
        <v>162.368582261</v>
      </c>
      <c r="D153">
        <v>62936</v>
      </c>
      <c r="E153">
        <v>92.103099999999998</v>
      </c>
      <c r="F153">
        <v>51.927399999999999</v>
      </c>
      <c r="G153">
        <v>74.768199999999993</v>
      </c>
      <c r="H153">
        <v>25.2318</v>
      </c>
      <c r="I153">
        <v>105</v>
      </c>
      <c r="J153">
        <v>100</v>
      </c>
      <c r="K153">
        <v>100</v>
      </c>
      <c r="L153">
        <v>100</v>
      </c>
      <c r="M153">
        <v>331172.91613899998</v>
      </c>
      <c r="N153">
        <v>57596.989624000002</v>
      </c>
      <c r="O153">
        <v>272768.20754500001</v>
      </c>
      <c r="P153">
        <v>807.71897000000001</v>
      </c>
      <c r="Q153">
        <v>263.88528100000002</v>
      </c>
      <c r="R153">
        <v>3000</v>
      </c>
      <c r="S153">
        <v>10</v>
      </c>
      <c r="T153">
        <v>0.99</v>
      </c>
      <c r="U153">
        <v>0.56379644116213246</v>
      </c>
    </row>
    <row r="154" spans="1:21" x14ac:dyDescent="0.2">
      <c r="A154" s="16" t="s">
        <v>10</v>
      </c>
      <c r="B154">
        <v>4</v>
      </c>
      <c r="C154">
        <v>162.42991846499999</v>
      </c>
      <c r="D154">
        <v>62936</v>
      </c>
      <c r="E154">
        <v>92.103099999999998</v>
      </c>
      <c r="F154">
        <v>51.8733</v>
      </c>
      <c r="G154">
        <v>74.417299999999997</v>
      </c>
      <c r="H154">
        <v>25.582699999999999</v>
      </c>
      <c r="I154">
        <v>105</v>
      </c>
      <c r="J154">
        <v>100</v>
      </c>
      <c r="K154">
        <v>100</v>
      </c>
      <c r="L154">
        <v>100</v>
      </c>
      <c r="M154">
        <v>331987.81779300002</v>
      </c>
      <c r="N154">
        <v>57596.989624000002</v>
      </c>
      <c r="O154">
        <v>273582.83204900002</v>
      </c>
      <c r="P154">
        <v>807.99612000000002</v>
      </c>
      <c r="Q154">
        <v>264.582199</v>
      </c>
      <c r="R154">
        <v>3000</v>
      </c>
      <c r="S154">
        <v>10</v>
      </c>
      <c r="T154">
        <v>0.99</v>
      </c>
      <c r="U154">
        <v>0.56320905593839954</v>
      </c>
    </row>
    <row r="155" spans="1:21" x14ac:dyDescent="0.2">
      <c r="A155" s="16" t="s">
        <v>10</v>
      </c>
      <c r="B155">
        <v>4</v>
      </c>
      <c r="C155">
        <v>164.95596579599999</v>
      </c>
      <c r="D155">
        <v>62936</v>
      </c>
      <c r="E155">
        <v>92.103099999999998</v>
      </c>
      <c r="F155">
        <v>51.930500000000002</v>
      </c>
      <c r="G155">
        <v>74.182299999999998</v>
      </c>
      <c r="H155">
        <v>25.817699999999999</v>
      </c>
      <c r="I155">
        <v>105</v>
      </c>
      <c r="J155">
        <v>100</v>
      </c>
      <c r="K155">
        <v>100</v>
      </c>
      <c r="L155">
        <v>100</v>
      </c>
      <c r="M155">
        <v>331547.11403900001</v>
      </c>
      <c r="N155">
        <v>57596.989624000002</v>
      </c>
      <c r="O155">
        <v>273144.02007500001</v>
      </c>
      <c r="P155">
        <v>806.10433999999998</v>
      </c>
      <c r="Q155">
        <v>265.48908899999998</v>
      </c>
      <c r="R155">
        <v>3000</v>
      </c>
      <c r="S155">
        <v>10</v>
      </c>
      <c r="T155">
        <v>0.99</v>
      </c>
      <c r="U155">
        <v>0.56383009909547022</v>
      </c>
    </row>
    <row r="156" spans="1:21" x14ac:dyDescent="0.2">
      <c r="A156" s="16" t="s">
        <v>10</v>
      </c>
      <c r="B156">
        <v>4</v>
      </c>
      <c r="C156">
        <v>165.00187609100001</v>
      </c>
      <c r="D156">
        <v>62936</v>
      </c>
      <c r="E156">
        <v>92.103099999999998</v>
      </c>
      <c r="F156">
        <v>51.789099999999998</v>
      </c>
      <c r="G156">
        <v>74.335800000000006</v>
      </c>
      <c r="H156">
        <v>25.664200000000001</v>
      </c>
      <c r="I156">
        <v>105</v>
      </c>
      <c r="J156">
        <v>100</v>
      </c>
      <c r="K156">
        <v>100</v>
      </c>
      <c r="L156">
        <v>100</v>
      </c>
      <c r="M156">
        <v>332392.17820299999</v>
      </c>
      <c r="N156">
        <v>57596.989624000002</v>
      </c>
      <c r="O156">
        <v>273988.67999899999</v>
      </c>
      <c r="P156">
        <v>806.50858000000005</v>
      </c>
      <c r="Q156">
        <v>264.98952000000003</v>
      </c>
      <c r="R156">
        <v>3000</v>
      </c>
      <c r="S156">
        <v>10</v>
      </c>
      <c r="T156">
        <v>0.99</v>
      </c>
      <c r="U156">
        <v>0.56229486303935483</v>
      </c>
    </row>
    <row r="157" spans="1:21" x14ac:dyDescent="0.2">
      <c r="A157" s="16" t="s">
        <v>10</v>
      </c>
      <c r="B157">
        <v>4</v>
      </c>
      <c r="C157">
        <v>164.155836274</v>
      </c>
      <c r="D157">
        <v>62936</v>
      </c>
      <c r="E157">
        <v>92.103099999999998</v>
      </c>
      <c r="F157">
        <v>51.779600000000002</v>
      </c>
      <c r="G157">
        <v>74.631799999999998</v>
      </c>
      <c r="H157">
        <v>25.368200000000002</v>
      </c>
      <c r="I157">
        <v>105</v>
      </c>
      <c r="J157">
        <v>100</v>
      </c>
      <c r="K157">
        <v>100</v>
      </c>
      <c r="L157">
        <v>100</v>
      </c>
      <c r="M157">
        <v>332759.67431899998</v>
      </c>
      <c r="N157">
        <v>57596.989624000002</v>
      </c>
      <c r="O157">
        <v>274355.84604500001</v>
      </c>
      <c r="P157">
        <v>806.83865000000003</v>
      </c>
      <c r="Q157">
        <v>264.09904899999998</v>
      </c>
      <c r="R157">
        <v>3000</v>
      </c>
      <c r="S157">
        <v>10</v>
      </c>
      <c r="T157">
        <v>0.99</v>
      </c>
      <c r="U157">
        <v>0.56219171775977139</v>
      </c>
    </row>
    <row r="158" spans="1:21" x14ac:dyDescent="0.2">
      <c r="A158" s="16" t="s">
        <v>10</v>
      </c>
      <c r="B158">
        <v>4</v>
      </c>
      <c r="C158">
        <v>163.606175157</v>
      </c>
      <c r="D158">
        <v>62936</v>
      </c>
      <c r="E158">
        <v>92.103099999999998</v>
      </c>
      <c r="F158">
        <v>51.820900000000002</v>
      </c>
      <c r="G158">
        <v>74.780799999999999</v>
      </c>
      <c r="H158">
        <v>25.219200000000001</v>
      </c>
      <c r="I158">
        <v>105</v>
      </c>
      <c r="J158">
        <v>100</v>
      </c>
      <c r="K158">
        <v>100</v>
      </c>
      <c r="L158">
        <v>100</v>
      </c>
      <c r="M158">
        <v>331965.48674800002</v>
      </c>
      <c r="N158">
        <v>57596.989624000002</v>
      </c>
      <c r="O158">
        <v>273561.49092399998</v>
      </c>
      <c r="P158">
        <v>807.00620000000004</v>
      </c>
      <c r="Q158">
        <v>263.69956100000002</v>
      </c>
      <c r="R158">
        <v>3000</v>
      </c>
      <c r="S158">
        <v>10</v>
      </c>
      <c r="T158">
        <v>0.99</v>
      </c>
      <c r="U158">
        <v>0.56264012829101306</v>
      </c>
    </row>
    <row r="159" spans="1:21" x14ac:dyDescent="0.2">
      <c r="A159" s="16" t="s">
        <v>10</v>
      </c>
      <c r="B159">
        <v>4</v>
      </c>
      <c r="C159">
        <v>164.55202389799999</v>
      </c>
      <c r="D159">
        <v>62936</v>
      </c>
      <c r="E159">
        <v>92.103099999999998</v>
      </c>
      <c r="F159">
        <v>51.970300000000002</v>
      </c>
      <c r="G159">
        <v>74.4191</v>
      </c>
      <c r="H159">
        <v>25.5809</v>
      </c>
      <c r="I159">
        <v>105</v>
      </c>
      <c r="J159">
        <v>100</v>
      </c>
      <c r="K159">
        <v>100</v>
      </c>
      <c r="L159">
        <v>100</v>
      </c>
      <c r="M159">
        <v>331490.97721799999</v>
      </c>
      <c r="N159">
        <v>57596.989624000002</v>
      </c>
      <c r="O159">
        <v>273087.47393400001</v>
      </c>
      <c r="P159">
        <v>806.51365999999996</v>
      </c>
      <c r="Q159">
        <v>264.61157600000001</v>
      </c>
      <c r="R159">
        <v>3000</v>
      </c>
      <c r="S159">
        <v>10</v>
      </c>
      <c r="T159">
        <v>0.99</v>
      </c>
      <c r="U159">
        <v>0.56426222352993549</v>
      </c>
    </row>
    <row r="160" spans="1:21" x14ac:dyDescent="0.2">
      <c r="A160" s="16" t="s">
        <v>10</v>
      </c>
      <c r="B160">
        <v>4</v>
      </c>
      <c r="C160">
        <v>162.00535723900001</v>
      </c>
      <c r="D160">
        <v>62936</v>
      </c>
      <c r="E160">
        <v>92.103099999999998</v>
      </c>
      <c r="F160">
        <v>51.633400000000002</v>
      </c>
      <c r="G160">
        <v>74.793800000000005</v>
      </c>
      <c r="H160">
        <v>25.206199999999999</v>
      </c>
      <c r="I160">
        <v>105</v>
      </c>
      <c r="J160">
        <v>100</v>
      </c>
      <c r="K160">
        <v>100</v>
      </c>
      <c r="L160">
        <v>100</v>
      </c>
      <c r="M160">
        <v>333480.30060999998</v>
      </c>
      <c r="N160">
        <v>57596.989624000002</v>
      </c>
      <c r="O160">
        <v>275076.145586</v>
      </c>
      <c r="P160">
        <v>807.16539999999998</v>
      </c>
      <c r="Q160">
        <v>263.27115099999997</v>
      </c>
      <c r="R160">
        <v>3000</v>
      </c>
      <c r="S160">
        <v>10</v>
      </c>
      <c r="T160">
        <v>0.99</v>
      </c>
      <c r="U160">
        <v>0.5606043661939718</v>
      </c>
    </row>
    <row r="161" spans="1:21" x14ac:dyDescent="0.2">
      <c r="A161" s="16" t="s">
        <v>10</v>
      </c>
      <c r="B161">
        <v>4</v>
      </c>
      <c r="C161">
        <v>161.37291213200001</v>
      </c>
      <c r="D161">
        <v>62936</v>
      </c>
      <c r="E161">
        <v>92.103099999999998</v>
      </c>
      <c r="F161">
        <v>51.962299999999999</v>
      </c>
      <c r="G161">
        <v>74.451899999999995</v>
      </c>
      <c r="H161">
        <v>25.548100000000002</v>
      </c>
      <c r="I161">
        <v>105</v>
      </c>
      <c r="J161">
        <v>100</v>
      </c>
      <c r="K161">
        <v>100</v>
      </c>
      <c r="L161">
        <v>100</v>
      </c>
      <c r="M161">
        <v>331959.35303900001</v>
      </c>
      <c r="N161">
        <v>57596.989624000002</v>
      </c>
      <c r="O161">
        <v>273554.77854500001</v>
      </c>
      <c r="P161">
        <v>807.58487000000002</v>
      </c>
      <c r="Q161">
        <v>264.46304600000002</v>
      </c>
      <c r="R161">
        <v>3000</v>
      </c>
      <c r="S161">
        <v>10</v>
      </c>
      <c r="T161">
        <v>0.99</v>
      </c>
      <c r="U161">
        <v>0.56417536434712834</v>
      </c>
    </row>
    <row r="162" spans="1:21" x14ac:dyDescent="0.2">
      <c r="A162" s="16" t="s">
        <v>10</v>
      </c>
      <c r="B162">
        <v>4</v>
      </c>
      <c r="C162">
        <v>161.5847085</v>
      </c>
      <c r="D162">
        <v>62936</v>
      </c>
      <c r="E162">
        <v>92.103099999999998</v>
      </c>
      <c r="F162">
        <v>51.792299999999997</v>
      </c>
      <c r="G162">
        <v>74.475399999999993</v>
      </c>
      <c r="H162">
        <v>25.5246</v>
      </c>
      <c r="I162">
        <v>105</v>
      </c>
      <c r="J162">
        <v>100</v>
      </c>
      <c r="K162">
        <v>100</v>
      </c>
      <c r="L162">
        <v>100</v>
      </c>
      <c r="M162">
        <v>332083.09133700002</v>
      </c>
      <c r="N162">
        <v>57596.989624000002</v>
      </c>
      <c r="O162">
        <v>273678.51392300002</v>
      </c>
      <c r="P162">
        <v>807.58779000000004</v>
      </c>
      <c r="Q162">
        <v>264.32455199999998</v>
      </c>
      <c r="R162">
        <v>3000</v>
      </c>
      <c r="S162">
        <v>10</v>
      </c>
      <c r="T162">
        <v>0.99</v>
      </c>
      <c r="U162">
        <v>0.56232960671247767</v>
      </c>
    </row>
    <row r="163" spans="1:21" x14ac:dyDescent="0.2">
      <c r="A163" s="16" t="s">
        <v>10</v>
      </c>
      <c r="B163">
        <v>4</v>
      </c>
      <c r="C163">
        <v>160.886440362</v>
      </c>
      <c r="D163">
        <v>62936</v>
      </c>
      <c r="E163">
        <v>92.103099999999998</v>
      </c>
      <c r="F163">
        <v>51.979799999999997</v>
      </c>
      <c r="G163">
        <v>74.4452</v>
      </c>
      <c r="H163">
        <v>25.5548</v>
      </c>
      <c r="I163">
        <v>105</v>
      </c>
      <c r="J163">
        <v>100</v>
      </c>
      <c r="K163">
        <v>100</v>
      </c>
      <c r="L163">
        <v>100</v>
      </c>
      <c r="M163">
        <v>331182.00926700002</v>
      </c>
      <c r="N163">
        <v>57596.989624000002</v>
      </c>
      <c r="O163">
        <v>272776.506483</v>
      </c>
      <c r="P163">
        <v>808.51315999999997</v>
      </c>
      <c r="Q163">
        <v>264.74290100000002</v>
      </c>
      <c r="R163">
        <v>3000</v>
      </c>
      <c r="S163">
        <v>10</v>
      </c>
      <c r="T163">
        <v>0.99</v>
      </c>
      <c r="U163">
        <v>0.56436536880951893</v>
      </c>
    </row>
    <row r="164" spans="1:21" x14ac:dyDescent="0.2">
      <c r="A164" s="16" t="s">
        <v>10</v>
      </c>
      <c r="B164">
        <v>4</v>
      </c>
      <c r="C164">
        <v>163.135755923</v>
      </c>
      <c r="D164">
        <v>62936</v>
      </c>
      <c r="E164">
        <v>92.103099999999998</v>
      </c>
      <c r="F164">
        <v>51.749400000000001</v>
      </c>
      <c r="G164">
        <v>74.512600000000006</v>
      </c>
      <c r="H164">
        <v>25.487400000000001</v>
      </c>
      <c r="I164">
        <v>105</v>
      </c>
      <c r="J164">
        <v>100</v>
      </c>
      <c r="K164">
        <v>100</v>
      </c>
      <c r="L164">
        <v>100</v>
      </c>
      <c r="M164">
        <v>332826.179282</v>
      </c>
      <c r="N164">
        <v>57596.989624000002</v>
      </c>
      <c r="O164">
        <v>274421.83514799998</v>
      </c>
      <c r="P164">
        <v>807.35451</v>
      </c>
      <c r="Q164">
        <v>264.43915500000003</v>
      </c>
      <c r="R164">
        <v>3000</v>
      </c>
      <c r="S164">
        <v>10</v>
      </c>
      <c r="T164">
        <v>0.99</v>
      </c>
      <c r="U164">
        <v>0.56186382434467463</v>
      </c>
    </row>
    <row r="165" spans="1:21" x14ac:dyDescent="0.2">
      <c r="A165" s="16" t="s">
        <v>10</v>
      </c>
      <c r="B165">
        <v>4</v>
      </c>
      <c r="C165">
        <v>163.31339759900001</v>
      </c>
      <c r="D165">
        <v>62936</v>
      </c>
      <c r="E165">
        <v>92.103099999999998</v>
      </c>
      <c r="F165">
        <v>51.774799999999999</v>
      </c>
      <c r="G165">
        <v>74.592600000000004</v>
      </c>
      <c r="H165">
        <v>25.407399999999999</v>
      </c>
      <c r="I165">
        <v>105</v>
      </c>
      <c r="J165">
        <v>100</v>
      </c>
      <c r="K165">
        <v>100</v>
      </c>
      <c r="L165">
        <v>100</v>
      </c>
      <c r="M165">
        <v>332558.53789199999</v>
      </c>
      <c r="N165">
        <v>57596.989624000002</v>
      </c>
      <c r="O165">
        <v>274155.45114800002</v>
      </c>
      <c r="P165">
        <v>806.09712000000002</v>
      </c>
      <c r="Q165">
        <v>263.99846000000002</v>
      </c>
      <c r="R165">
        <v>3000</v>
      </c>
      <c r="S165">
        <v>10</v>
      </c>
      <c r="T165">
        <v>0.99</v>
      </c>
      <c r="U165">
        <v>0.56213960225008719</v>
      </c>
    </row>
    <row r="166" spans="1:21" x14ac:dyDescent="0.2">
      <c r="A166" s="16" t="s">
        <v>10</v>
      </c>
      <c r="B166">
        <v>4</v>
      </c>
      <c r="C166">
        <v>163.60673738</v>
      </c>
      <c r="D166">
        <v>62936</v>
      </c>
      <c r="E166">
        <v>92.103099999999998</v>
      </c>
      <c r="F166">
        <v>52.035400000000003</v>
      </c>
      <c r="G166">
        <v>74.350399999999993</v>
      </c>
      <c r="H166">
        <v>25.6496</v>
      </c>
      <c r="I166">
        <v>105</v>
      </c>
      <c r="J166">
        <v>100</v>
      </c>
      <c r="K166">
        <v>100</v>
      </c>
      <c r="L166">
        <v>100</v>
      </c>
      <c r="M166">
        <v>330943.53393099998</v>
      </c>
      <c r="N166">
        <v>57596.989624000002</v>
      </c>
      <c r="O166">
        <v>272539.69553700002</v>
      </c>
      <c r="P166">
        <v>806.84876999999994</v>
      </c>
      <c r="Q166">
        <v>264.91089399999998</v>
      </c>
      <c r="R166">
        <v>3000</v>
      </c>
      <c r="S166">
        <v>10</v>
      </c>
      <c r="T166">
        <v>0.99</v>
      </c>
      <c r="U166">
        <v>0.56496904013002824</v>
      </c>
    </row>
    <row r="167" spans="1:21" x14ac:dyDescent="0.2">
      <c r="A167" s="16" t="s">
        <v>10</v>
      </c>
      <c r="B167">
        <v>4</v>
      </c>
      <c r="C167">
        <v>162.91891465800001</v>
      </c>
      <c r="D167">
        <v>62936</v>
      </c>
      <c r="E167">
        <v>92.103099999999998</v>
      </c>
      <c r="F167">
        <v>51.920999999999999</v>
      </c>
      <c r="G167">
        <v>74.590699999999998</v>
      </c>
      <c r="H167">
        <v>25.409300000000002</v>
      </c>
      <c r="I167">
        <v>105</v>
      </c>
      <c r="J167">
        <v>100</v>
      </c>
      <c r="K167">
        <v>100</v>
      </c>
      <c r="L167">
        <v>100</v>
      </c>
      <c r="M167">
        <v>331624.74722100003</v>
      </c>
      <c r="N167">
        <v>57596.989624000002</v>
      </c>
      <c r="O167">
        <v>273220.70993700001</v>
      </c>
      <c r="P167">
        <v>807.04765999999995</v>
      </c>
      <c r="Q167">
        <v>264.20035300000001</v>
      </c>
      <c r="R167">
        <v>3000</v>
      </c>
      <c r="S167">
        <v>10</v>
      </c>
      <c r="T167">
        <v>0.99</v>
      </c>
      <c r="U167">
        <v>0.56372695381588678</v>
      </c>
    </row>
    <row r="168" spans="1:21" x14ac:dyDescent="0.2">
      <c r="A168" s="16" t="s">
        <v>10</v>
      </c>
      <c r="B168">
        <v>4</v>
      </c>
      <c r="C168">
        <v>161.09109875199999</v>
      </c>
      <c r="D168">
        <v>62936</v>
      </c>
      <c r="E168">
        <v>92.103099999999998</v>
      </c>
      <c r="F168">
        <v>52.029000000000003</v>
      </c>
      <c r="G168">
        <v>74.686199999999999</v>
      </c>
      <c r="H168">
        <v>25.313800000000001</v>
      </c>
      <c r="I168">
        <v>105</v>
      </c>
      <c r="J168">
        <v>100</v>
      </c>
      <c r="K168">
        <v>100</v>
      </c>
      <c r="L168">
        <v>100</v>
      </c>
      <c r="M168">
        <v>331395.84581700002</v>
      </c>
      <c r="N168">
        <v>57596.989624000002</v>
      </c>
      <c r="O168">
        <v>272991.12984299997</v>
      </c>
      <c r="P168">
        <v>807.72635000000002</v>
      </c>
      <c r="Q168">
        <v>264.01886300000001</v>
      </c>
      <c r="R168">
        <v>3000</v>
      </c>
      <c r="S168">
        <v>10</v>
      </c>
      <c r="T168">
        <v>0.99</v>
      </c>
      <c r="U168">
        <v>0.56489955278378257</v>
      </c>
    </row>
    <row r="169" spans="1:21" x14ac:dyDescent="0.2">
      <c r="A169" s="16" t="s">
        <v>10</v>
      </c>
      <c r="B169">
        <v>4</v>
      </c>
      <c r="C169">
        <v>164.41552449299999</v>
      </c>
      <c r="D169">
        <v>62936</v>
      </c>
      <c r="E169">
        <v>92.103099999999998</v>
      </c>
      <c r="F169">
        <v>51.824100000000001</v>
      </c>
      <c r="G169">
        <v>74.245800000000003</v>
      </c>
      <c r="H169">
        <v>25.754200000000001</v>
      </c>
      <c r="I169">
        <v>105</v>
      </c>
      <c r="J169">
        <v>100</v>
      </c>
      <c r="K169">
        <v>100</v>
      </c>
      <c r="L169">
        <v>100</v>
      </c>
      <c r="M169">
        <v>332474.55993300001</v>
      </c>
      <c r="N169">
        <v>57596.989624000002</v>
      </c>
      <c r="O169">
        <v>274070.88496900001</v>
      </c>
      <c r="P169">
        <v>806.68534</v>
      </c>
      <c r="Q169">
        <v>265.40107499999999</v>
      </c>
      <c r="R169">
        <v>3000</v>
      </c>
      <c r="S169">
        <v>10</v>
      </c>
      <c r="T169">
        <v>0.99</v>
      </c>
      <c r="U169">
        <v>0.5626748719641359</v>
      </c>
    </row>
    <row r="170" spans="1:21" x14ac:dyDescent="0.2">
      <c r="A170" s="16" t="s">
        <v>10</v>
      </c>
      <c r="B170">
        <v>4</v>
      </c>
      <c r="C170">
        <v>162.16589893899999</v>
      </c>
      <c r="D170">
        <v>62936</v>
      </c>
      <c r="E170">
        <v>92.103099999999998</v>
      </c>
      <c r="F170">
        <v>51.8765</v>
      </c>
      <c r="G170">
        <v>74.302400000000006</v>
      </c>
      <c r="H170">
        <v>25.697600000000001</v>
      </c>
      <c r="I170">
        <v>105</v>
      </c>
      <c r="J170">
        <v>100</v>
      </c>
      <c r="K170">
        <v>100</v>
      </c>
      <c r="L170">
        <v>100</v>
      </c>
      <c r="M170">
        <v>331533.58542800002</v>
      </c>
      <c r="N170">
        <v>57596.989624000002</v>
      </c>
      <c r="O170">
        <v>273128.82709400001</v>
      </c>
      <c r="P170">
        <v>807.76871000000006</v>
      </c>
      <c r="Q170">
        <v>265.167643</v>
      </c>
      <c r="R170">
        <v>3000</v>
      </c>
      <c r="S170">
        <v>10</v>
      </c>
      <c r="T170">
        <v>0.99</v>
      </c>
      <c r="U170">
        <v>0.56324379961152227</v>
      </c>
    </row>
    <row r="171" spans="1:21" x14ac:dyDescent="0.2">
      <c r="A171" s="16" t="s">
        <v>10</v>
      </c>
      <c r="B171">
        <v>4</v>
      </c>
      <c r="C171">
        <v>164.13300141400001</v>
      </c>
      <c r="D171">
        <v>62936</v>
      </c>
      <c r="E171">
        <v>92.103099999999998</v>
      </c>
      <c r="F171">
        <v>51.852699999999999</v>
      </c>
      <c r="G171">
        <v>74.462199999999996</v>
      </c>
      <c r="H171">
        <v>25.537800000000001</v>
      </c>
      <c r="I171">
        <v>105</v>
      </c>
      <c r="J171">
        <v>100</v>
      </c>
      <c r="K171">
        <v>100</v>
      </c>
      <c r="L171">
        <v>100</v>
      </c>
      <c r="M171">
        <v>332306.10721400002</v>
      </c>
      <c r="N171">
        <v>57596.989624000002</v>
      </c>
      <c r="O171">
        <v>273903.00242999999</v>
      </c>
      <c r="P171">
        <v>806.11515999999995</v>
      </c>
      <c r="Q171">
        <v>264.69876699999998</v>
      </c>
      <c r="R171">
        <v>3000</v>
      </c>
      <c r="S171">
        <v>10</v>
      </c>
      <c r="T171">
        <v>0.99</v>
      </c>
      <c r="U171">
        <v>0.56298539354267119</v>
      </c>
    </row>
    <row r="172" spans="1:21" x14ac:dyDescent="0.2">
      <c r="A172" s="16" t="s">
        <v>10</v>
      </c>
      <c r="B172">
        <v>4</v>
      </c>
      <c r="C172">
        <v>163.50218880700001</v>
      </c>
      <c r="D172">
        <v>62936</v>
      </c>
      <c r="E172">
        <v>92.103099999999998</v>
      </c>
      <c r="F172">
        <v>51.933700000000002</v>
      </c>
      <c r="G172">
        <v>74.327699999999993</v>
      </c>
      <c r="H172">
        <v>25.6723</v>
      </c>
      <c r="I172">
        <v>105</v>
      </c>
      <c r="J172">
        <v>100</v>
      </c>
      <c r="K172">
        <v>100</v>
      </c>
      <c r="L172">
        <v>100</v>
      </c>
      <c r="M172">
        <v>331903.67080999998</v>
      </c>
      <c r="N172">
        <v>57596.989624000002</v>
      </c>
      <c r="O172">
        <v>273499.54565599997</v>
      </c>
      <c r="P172">
        <v>807.13553000000002</v>
      </c>
      <c r="Q172">
        <v>264.882879</v>
      </c>
      <c r="R172">
        <v>3000</v>
      </c>
      <c r="S172">
        <v>10</v>
      </c>
      <c r="T172">
        <v>0.99</v>
      </c>
      <c r="U172">
        <v>0.56386484276859306</v>
      </c>
    </row>
    <row r="173" spans="1:21" x14ac:dyDescent="0.2">
      <c r="A173" s="16" t="s">
        <v>10</v>
      </c>
      <c r="B173">
        <v>4</v>
      </c>
      <c r="C173">
        <v>163.91641997400001</v>
      </c>
      <c r="D173">
        <v>62936</v>
      </c>
      <c r="E173">
        <v>92.103099999999998</v>
      </c>
      <c r="F173">
        <v>51.782800000000002</v>
      </c>
      <c r="G173">
        <v>74.489099999999993</v>
      </c>
      <c r="H173">
        <v>25.510899999999999</v>
      </c>
      <c r="I173">
        <v>105</v>
      </c>
      <c r="J173">
        <v>100</v>
      </c>
      <c r="K173">
        <v>100</v>
      </c>
      <c r="L173">
        <v>100</v>
      </c>
      <c r="M173">
        <v>332907.21230399999</v>
      </c>
      <c r="N173">
        <v>57596.989624000002</v>
      </c>
      <c r="O173">
        <v>274503.45925999997</v>
      </c>
      <c r="P173">
        <v>806.76342</v>
      </c>
      <c r="Q173">
        <v>264.36591600000003</v>
      </c>
      <c r="R173">
        <v>3000</v>
      </c>
      <c r="S173">
        <v>10</v>
      </c>
      <c r="T173">
        <v>0.99</v>
      </c>
      <c r="U173">
        <v>0.56222646143289423</v>
      </c>
    </row>
    <row r="174" spans="1:21" x14ac:dyDescent="0.2">
      <c r="A174" s="16" t="s">
        <v>10</v>
      </c>
      <c r="B174">
        <v>4</v>
      </c>
      <c r="C174">
        <v>163.66364655300001</v>
      </c>
      <c r="D174">
        <v>62936</v>
      </c>
      <c r="E174">
        <v>92.103099999999998</v>
      </c>
      <c r="F174">
        <v>51.901899999999998</v>
      </c>
      <c r="G174">
        <v>74.970200000000006</v>
      </c>
      <c r="H174">
        <v>25.029800000000002</v>
      </c>
      <c r="I174">
        <v>105</v>
      </c>
      <c r="J174">
        <v>100</v>
      </c>
      <c r="K174">
        <v>100</v>
      </c>
      <c r="L174">
        <v>100</v>
      </c>
      <c r="M174">
        <v>331741.27503299998</v>
      </c>
      <c r="N174">
        <v>57596.989624000002</v>
      </c>
      <c r="O174">
        <v>273337.82405900001</v>
      </c>
      <c r="P174">
        <v>806.46135000000004</v>
      </c>
      <c r="Q174">
        <v>262.96943599999997</v>
      </c>
      <c r="R174">
        <v>3000</v>
      </c>
      <c r="S174">
        <v>10</v>
      </c>
      <c r="T174">
        <v>0.99</v>
      </c>
      <c r="U174">
        <v>0.56351957751693482</v>
      </c>
    </row>
    <row r="175" spans="1:21" x14ac:dyDescent="0.2">
      <c r="A175" s="16" t="s">
        <v>10</v>
      </c>
      <c r="B175">
        <v>4</v>
      </c>
      <c r="C175">
        <v>162.389533661</v>
      </c>
      <c r="D175">
        <v>62936</v>
      </c>
      <c r="E175">
        <v>92.103099999999998</v>
      </c>
      <c r="F175">
        <v>51.84</v>
      </c>
      <c r="G175">
        <v>74.661299999999997</v>
      </c>
      <c r="H175">
        <v>25.338699999999999</v>
      </c>
      <c r="I175">
        <v>105</v>
      </c>
      <c r="J175">
        <v>100</v>
      </c>
      <c r="K175">
        <v>100</v>
      </c>
      <c r="L175">
        <v>100</v>
      </c>
      <c r="M175">
        <v>331965.70432299998</v>
      </c>
      <c r="N175">
        <v>57596.989624000002</v>
      </c>
      <c r="O175">
        <v>273561.182249</v>
      </c>
      <c r="P175">
        <v>807.53245000000004</v>
      </c>
      <c r="Q175">
        <v>264.223161</v>
      </c>
      <c r="R175">
        <v>3000</v>
      </c>
      <c r="S175">
        <v>10</v>
      </c>
      <c r="T175">
        <v>0.99</v>
      </c>
      <c r="U175">
        <v>0.56284750458996502</v>
      </c>
    </row>
    <row r="176" spans="1:21" x14ac:dyDescent="0.2">
      <c r="A176" s="16" t="s">
        <v>10</v>
      </c>
      <c r="B176">
        <v>4</v>
      </c>
      <c r="C176">
        <v>163.525333571</v>
      </c>
      <c r="D176">
        <v>62936</v>
      </c>
      <c r="E176">
        <v>92.103099999999998</v>
      </c>
      <c r="F176">
        <v>51.9131</v>
      </c>
      <c r="G176">
        <v>74.121600000000001</v>
      </c>
      <c r="H176">
        <v>25.878399999999999</v>
      </c>
      <c r="I176">
        <v>105</v>
      </c>
      <c r="J176">
        <v>100</v>
      </c>
      <c r="K176">
        <v>100</v>
      </c>
      <c r="L176">
        <v>100</v>
      </c>
      <c r="M176">
        <v>331584.530096</v>
      </c>
      <c r="N176">
        <v>57596.989624000002</v>
      </c>
      <c r="O176">
        <v>273180.744512</v>
      </c>
      <c r="P176">
        <v>806.79596000000004</v>
      </c>
      <c r="Q176">
        <v>265.64324199999999</v>
      </c>
      <c r="R176">
        <v>3000</v>
      </c>
      <c r="S176">
        <v>10</v>
      </c>
      <c r="T176">
        <v>0.99</v>
      </c>
      <c r="U176">
        <v>0.56364118037286481</v>
      </c>
    </row>
    <row r="177" spans="1:21" x14ac:dyDescent="0.2">
      <c r="A177" s="16" t="s">
        <v>11</v>
      </c>
      <c r="B177">
        <v>4</v>
      </c>
      <c r="C177">
        <v>598.12257466000005</v>
      </c>
      <c r="D177">
        <v>62936</v>
      </c>
      <c r="E177">
        <v>92.103099999999998</v>
      </c>
      <c r="F177">
        <v>56.169800000000002</v>
      </c>
      <c r="G177">
        <v>71.296400000000006</v>
      </c>
      <c r="H177">
        <v>28.703600000000002</v>
      </c>
      <c r="I177">
        <v>105</v>
      </c>
      <c r="J177">
        <v>100</v>
      </c>
      <c r="K177">
        <v>100</v>
      </c>
      <c r="L177">
        <v>100</v>
      </c>
      <c r="M177">
        <v>331945.128478</v>
      </c>
      <c r="N177">
        <v>57596.989624000002</v>
      </c>
      <c r="O177">
        <v>273543.289834</v>
      </c>
      <c r="P177">
        <v>804.84902</v>
      </c>
      <c r="Q177">
        <v>273.248538</v>
      </c>
      <c r="R177">
        <v>3000</v>
      </c>
      <c r="S177">
        <v>10</v>
      </c>
      <c r="T177">
        <v>0.99</v>
      </c>
      <c r="U177">
        <v>0.60985786580473411</v>
      </c>
    </row>
    <row r="178" spans="1:21" x14ac:dyDescent="0.2">
      <c r="A178" s="16" t="s">
        <v>11</v>
      </c>
      <c r="B178">
        <v>4</v>
      </c>
      <c r="C178">
        <v>597.18803771</v>
      </c>
      <c r="D178">
        <v>62936</v>
      </c>
      <c r="E178">
        <v>92.103099999999998</v>
      </c>
      <c r="F178">
        <v>56.055399999999999</v>
      </c>
      <c r="G178">
        <v>71.475899999999996</v>
      </c>
      <c r="H178">
        <v>28.524100000000001</v>
      </c>
      <c r="I178">
        <v>105</v>
      </c>
      <c r="J178">
        <v>100</v>
      </c>
      <c r="K178">
        <v>100</v>
      </c>
      <c r="L178">
        <v>100</v>
      </c>
      <c r="M178">
        <v>333296.23298799997</v>
      </c>
      <c r="N178">
        <v>57596.989624000002</v>
      </c>
      <c r="O178">
        <v>274894.504954</v>
      </c>
      <c r="P178">
        <v>804.73841000000004</v>
      </c>
      <c r="Q178">
        <v>272.40353199999998</v>
      </c>
      <c r="R178">
        <v>3000</v>
      </c>
      <c r="S178">
        <v>10</v>
      </c>
      <c r="T178">
        <v>0.99</v>
      </c>
      <c r="U178">
        <v>0.60861577949059265</v>
      </c>
    </row>
    <row r="179" spans="1:21" x14ac:dyDescent="0.2">
      <c r="A179" s="16" t="s">
        <v>11</v>
      </c>
      <c r="B179">
        <v>4</v>
      </c>
      <c r="C179">
        <v>597.46090093500004</v>
      </c>
      <c r="D179">
        <v>62936</v>
      </c>
      <c r="E179">
        <v>92.103099999999998</v>
      </c>
      <c r="F179">
        <v>55.926699999999997</v>
      </c>
      <c r="G179">
        <v>71.430199999999999</v>
      </c>
      <c r="H179">
        <v>28.569800000000001</v>
      </c>
      <c r="I179">
        <v>105</v>
      </c>
      <c r="J179">
        <v>100</v>
      </c>
      <c r="K179">
        <v>100</v>
      </c>
      <c r="L179">
        <v>100</v>
      </c>
      <c r="M179">
        <v>333665.52600800002</v>
      </c>
      <c r="N179">
        <v>57596.989624000002</v>
      </c>
      <c r="O179">
        <v>275264.34069400001</v>
      </c>
      <c r="P179">
        <v>804.19569000000001</v>
      </c>
      <c r="Q179">
        <v>272.36841199999998</v>
      </c>
      <c r="R179">
        <v>3000</v>
      </c>
      <c r="S179">
        <v>10</v>
      </c>
      <c r="T179">
        <v>0.99</v>
      </c>
      <c r="U179">
        <v>0.60721843238718343</v>
      </c>
    </row>
    <row r="180" spans="1:21" x14ac:dyDescent="0.2">
      <c r="A180" s="16" t="s">
        <v>11</v>
      </c>
      <c r="B180">
        <v>4</v>
      </c>
      <c r="C180">
        <v>600.66204585200001</v>
      </c>
      <c r="D180">
        <v>62936</v>
      </c>
      <c r="E180">
        <v>92.103099999999998</v>
      </c>
      <c r="F180">
        <v>56.077599999999997</v>
      </c>
      <c r="G180">
        <v>71.274799999999999</v>
      </c>
      <c r="H180">
        <v>28.725200000000001</v>
      </c>
      <c r="I180">
        <v>105</v>
      </c>
      <c r="J180">
        <v>100</v>
      </c>
      <c r="K180">
        <v>100</v>
      </c>
      <c r="L180">
        <v>100</v>
      </c>
      <c r="M180">
        <v>332445.024363</v>
      </c>
      <c r="N180">
        <v>57596.989624000002</v>
      </c>
      <c r="O180">
        <v>274043.740269</v>
      </c>
      <c r="P180">
        <v>804.29447000000005</v>
      </c>
      <c r="Q180">
        <v>273.02197899999999</v>
      </c>
      <c r="R180">
        <v>3000</v>
      </c>
      <c r="S180">
        <v>10</v>
      </c>
      <c r="T180">
        <v>0.99</v>
      </c>
      <c r="U180">
        <v>0.60885681372288225</v>
      </c>
    </row>
    <row r="181" spans="1:21" x14ac:dyDescent="0.2">
      <c r="A181" s="16" t="s">
        <v>11</v>
      </c>
      <c r="B181">
        <v>4</v>
      </c>
      <c r="C181">
        <v>600.14991721700005</v>
      </c>
      <c r="D181">
        <v>62936</v>
      </c>
      <c r="E181">
        <v>92.103099999999998</v>
      </c>
      <c r="F181">
        <v>55.999699999999997</v>
      </c>
      <c r="G181">
        <v>71.370999999999995</v>
      </c>
      <c r="H181">
        <v>28.629000000000001</v>
      </c>
      <c r="I181">
        <v>105</v>
      </c>
      <c r="J181">
        <v>100</v>
      </c>
      <c r="K181">
        <v>100</v>
      </c>
      <c r="L181">
        <v>100</v>
      </c>
      <c r="M181">
        <v>332048.77631500002</v>
      </c>
      <c r="N181">
        <v>57596.989624000002</v>
      </c>
      <c r="O181">
        <v>273647.13711100002</v>
      </c>
      <c r="P181">
        <v>804.64958000000001</v>
      </c>
      <c r="Q181">
        <v>272.90198500000002</v>
      </c>
      <c r="R181">
        <v>3000</v>
      </c>
      <c r="S181">
        <v>10</v>
      </c>
      <c r="T181">
        <v>0.99</v>
      </c>
      <c r="U181">
        <v>0.60801102243029825</v>
      </c>
    </row>
    <row r="182" spans="1:21" x14ac:dyDescent="0.2">
      <c r="A182" s="16" t="s">
        <v>11</v>
      </c>
      <c r="B182">
        <v>4</v>
      </c>
      <c r="C182">
        <v>601.69144455799994</v>
      </c>
      <c r="D182">
        <v>62936</v>
      </c>
      <c r="E182">
        <v>92.103099999999998</v>
      </c>
      <c r="F182">
        <v>56.012500000000003</v>
      </c>
      <c r="G182">
        <v>71.181799999999996</v>
      </c>
      <c r="H182">
        <v>28.818200000000001</v>
      </c>
      <c r="I182">
        <v>105</v>
      </c>
      <c r="J182">
        <v>100</v>
      </c>
      <c r="K182">
        <v>100</v>
      </c>
      <c r="L182">
        <v>100</v>
      </c>
      <c r="M182">
        <v>332936.78455699998</v>
      </c>
      <c r="N182">
        <v>57596.989624000002</v>
      </c>
      <c r="O182">
        <v>274535.10459300003</v>
      </c>
      <c r="P182">
        <v>804.69033999999999</v>
      </c>
      <c r="Q182">
        <v>273.30007000000001</v>
      </c>
      <c r="R182">
        <v>3000</v>
      </c>
      <c r="S182">
        <v>10</v>
      </c>
      <c r="T182">
        <v>0.99</v>
      </c>
      <c r="U182">
        <v>0.60814999712278961</v>
      </c>
    </row>
    <row r="183" spans="1:21" x14ac:dyDescent="0.2">
      <c r="A183" s="16" t="s">
        <v>11</v>
      </c>
      <c r="B183">
        <v>4</v>
      </c>
      <c r="C183">
        <v>596.97097663399995</v>
      </c>
      <c r="D183">
        <v>62936</v>
      </c>
      <c r="E183">
        <v>92.103099999999998</v>
      </c>
      <c r="F183">
        <v>56.061700000000002</v>
      </c>
      <c r="G183">
        <v>71.119200000000006</v>
      </c>
      <c r="H183">
        <v>28.880800000000001</v>
      </c>
      <c r="I183">
        <v>105</v>
      </c>
      <c r="J183">
        <v>100</v>
      </c>
      <c r="K183">
        <v>100</v>
      </c>
      <c r="L183">
        <v>100</v>
      </c>
      <c r="M183">
        <v>332841.070786</v>
      </c>
      <c r="N183">
        <v>57596.989624000002</v>
      </c>
      <c r="O183">
        <v>274439.471892</v>
      </c>
      <c r="P183">
        <v>804.60927000000004</v>
      </c>
      <c r="Q183">
        <v>273.43933099999998</v>
      </c>
      <c r="R183">
        <v>3000</v>
      </c>
      <c r="S183">
        <v>10</v>
      </c>
      <c r="T183">
        <v>0.99</v>
      </c>
      <c r="U183">
        <v>0.60868418109705325</v>
      </c>
    </row>
    <row r="184" spans="1:21" x14ac:dyDescent="0.2">
      <c r="A184" s="16" t="s">
        <v>11</v>
      </c>
      <c r="B184">
        <v>4</v>
      </c>
      <c r="C184">
        <v>598.17141348799998</v>
      </c>
      <c r="D184">
        <v>62936</v>
      </c>
      <c r="E184">
        <v>92.103099999999998</v>
      </c>
      <c r="F184">
        <v>56.002899999999997</v>
      </c>
      <c r="G184">
        <v>71.066199999999995</v>
      </c>
      <c r="H184">
        <v>28.933800000000002</v>
      </c>
      <c r="I184">
        <v>105</v>
      </c>
      <c r="J184">
        <v>100</v>
      </c>
      <c r="K184">
        <v>100</v>
      </c>
      <c r="L184">
        <v>100</v>
      </c>
      <c r="M184">
        <v>333225.34219699999</v>
      </c>
      <c r="N184">
        <v>57596.989624000002</v>
      </c>
      <c r="O184">
        <v>274823.16999299999</v>
      </c>
      <c r="P184">
        <v>805.18258000000003</v>
      </c>
      <c r="Q184">
        <v>273.27450900000002</v>
      </c>
      <c r="R184">
        <v>3000</v>
      </c>
      <c r="S184">
        <v>10</v>
      </c>
      <c r="T184">
        <v>0.99</v>
      </c>
      <c r="U184">
        <v>0.60804576610342109</v>
      </c>
    </row>
    <row r="185" spans="1:21" x14ac:dyDescent="0.2">
      <c r="A185" s="16" t="s">
        <v>11</v>
      </c>
      <c r="B185">
        <v>4</v>
      </c>
      <c r="C185">
        <v>599.09894391299997</v>
      </c>
      <c r="D185">
        <v>62936</v>
      </c>
      <c r="E185">
        <v>92.103099999999998</v>
      </c>
      <c r="F185">
        <v>56.026800000000001</v>
      </c>
      <c r="G185">
        <v>71.197599999999994</v>
      </c>
      <c r="H185">
        <v>28.802399999999999</v>
      </c>
      <c r="I185">
        <v>105</v>
      </c>
      <c r="J185">
        <v>100</v>
      </c>
      <c r="K185">
        <v>100</v>
      </c>
      <c r="L185">
        <v>100</v>
      </c>
      <c r="M185">
        <v>333323.65894599998</v>
      </c>
      <c r="N185">
        <v>57596.989624000002</v>
      </c>
      <c r="O185">
        <v>274922.20605199999</v>
      </c>
      <c r="P185">
        <v>804.46326999999997</v>
      </c>
      <c r="Q185">
        <v>273.06821500000001</v>
      </c>
      <c r="R185">
        <v>3000</v>
      </c>
      <c r="S185">
        <v>10</v>
      </c>
      <c r="T185">
        <v>0.99</v>
      </c>
      <c r="U185">
        <v>0.60830525791205725</v>
      </c>
    </row>
    <row r="186" spans="1:21" x14ac:dyDescent="0.2">
      <c r="A186" s="16" t="s">
        <v>11</v>
      </c>
      <c r="B186">
        <v>4</v>
      </c>
      <c r="C186">
        <v>599.71856447200003</v>
      </c>
      <c r="D186">
        <v>62936</v>
      </c>
      <c r="E186">
        <v>92.103099999999998</v>
      </c>
      <c r="F186">
        <v>56.074399999999997</v>
      </c>
      <c r="G186">
        <v>71.287300000000002</v>
      </c>
      <c r="H186">
        <v>28.712700000000002</v>
      </c>
      <c r="I186">
        <v>105</v>
      </c>
      <c r="J186">
        <v>100</v>
      </c>
      <c r="K186">
        <v>100</v>
      </c>
      <c r="L186">
        <v>100</v>
      </c>
      <c r="M186">
        <v>333131.36399799999</v>
      </c>
      <c r="N186">
        <v>57596.989624000002</v>
      </c>
      <c r="O186">
        <v>274730.31913399999</v>
      </c>
      <c r="P186">
        <v>804.05524000000003</v>
      </c>
      <c r="Q186">
        <v>273.014995</v>
      </c>
      <c r="R186">
        <v>3000</v>
      </c>
      <c r="S186">
        <v>10</v>
      </c>
      <c r="T186">
        <v>0.99</v>
      </c>
      <c r="U186">
        <v>0.60882207004975941</v>
      </c>
    </row>
    <row r="187" spans="1:21" x14ac:dyDescent="0.2">
      <c r="A187" s="16" t="s">
        <v>11</v>
      </c>
      <c r="B187">
        <v>4</v>
      </c>
      <c r="C187">
        <v>598.85685477100003</v>
      </c>
      <c r="D187">
        <v>62936</v>
      </c>
      <c r="E187">
        <v>92.103099999999998</v>
      </c>
      <c r="F187">
        <v>56.103000000000002</v>
      </c>
      <c r="G187">
        <v>70.800600000000003</v>
      </c>
      <c r="H187">
        <v>29.199400000000001</v>
      </c>
      <c r="I187">
        <v>105</v>
      </c>
      <c r="J187">
        <v>100</v>
      </c>
      <c r="K187">
        <v>100</v>
      </c>
      <c r="L187">
        <v>100</v>
      </c>
      <c r="M187">
        <v>332036.46192799998</v>
      </c>
      <c r="N187">
        <v>57596.989624000002</v>
      </c>
      <c r="O187">
        <v>273634.72492399998</v>
      </c>
      <c r="P187">
        <v>804.74738000000002</v>
      </c>
      <c r="Q187">
        <v>274.28378300000003</v>
      </c>
      <c r="R187">
        <v>3000</v>
      </c>
      <c r="S187">
        <v>10</v>
      </c>
      <c r="T187">
        <v>0.99</v>
      </c>
      <c r="U187">
        <v>0.60913259162829481</v>
      </c>
    </row>
    <row r="188" spans="1:21" x14ac:dyDescent="0.2">
      <c r="A188" s="16" t="s">
        <v>11</v>
      </c>
      <c r="B188">
        <v>4</v>
      </c>
      <c r="C188">
        <v>600.74771557600002</v>
      </c>
      <c r="D188">
        <v>62936</v>
      </c>
      <c r="E188">
        <v>92.103099999999998</v>
      </c>
      <c r="F188">
        <v>56.244399999999999</v>
      </c>
      <c r="G188">
        <v>71.4786</v>
      </c>
      <c r="H188">
        <v>28.5214</v>
      </c>
      <c r="I188">
        <v>105</v>
      </c>
      <c r="J188">
        <v>100</v>
      </c>
      <c r="K188">
        <v>100</v>
      </c>
      <c r="L188">
        <v>100</v>
      </c>
      <c r="M188">
        <v>332179.55573999998</v>
      </c>
      <c r="N188">
        <v>57596.989624000002</v>
      </c>
      <c r="O188">
        <v>273778.23418600002</v>
      </c>
      <c r="P188">
        <v>804.33193000000006</v>
      </c>
      <c r="Q188">
        <v>272.600438</v>
      </c>
      <c r="R188">
        <v>3000</v>
      </c>
      <c r="S188">
        <v>10</v>
      </c>
      <c r="T188">
        <v>0.99</v>
      </c>
      <c r="U188">
        <v>0.61066782768441019</v>
      </c>
    </row>
    <row r="189" spans="1:21" x14ac:dyDescent="0.2">
      <c r="A189" s="16" t="s">
        <v>11</v>
      </c>
      <c r="B189">
        <v>4</v>
      </c>
      <c r="C189">
        <v>599.203344668</v>
      </c>
      <c r="D189">
        <v>62936</v>
      </c>
      <c r="E189">
        <v>92.103099999999998</v>
      </c>
      <c r="F189">
        <v>56.084000000000003</v>
      </c>
      <c r="G189">
        <v>71.3035</v>
      </c>
      <c r="H189">
        <v>28.6965</v>
      </c>
      <c r="I189">
        <v>105</v>
      </c>
      <c r="J189">
        <v>100</v>
      </c>
      <c r="K189">
        <v>100</v>
      </c>
      <c r="L189">
        <v>100</v>
      </c>
      <c r="M189">
        <v>332174.15298100002</v>
      </c>
      <c r="N189">
        <v>57596.989624000002</v>
      </c>
      <c r="O189">
        <v>273772.70417699998</v>
      </c>
      <c r="P189">
        <v>804.45917999999995</v>
      </c>
      <c r="Q189">
        <v>273.27685000000002</v>
      </c>
      <c r="R189">
        <v>3000</v>
      </c>
      <c r="S189">
        <v>10</v>
      </c>
      <c r="T189">
        <v>0.99</v>
      </c>
      <c r="U189">
        <v>0.60892630106912804</v>
      </c>
    </row>
    <row r="190" spans="1:21" x14ac:dyDescent="0.2">
      <c r="A190" s="16" t="s">
        <v>11</v>
      </c>
      <c r="B190">
        <v>4</v>
      </c>
      <c r="C190">
        <v>602.063444355</v>
      </c>
      <c r="D190">
        <v>62936</v>
      </c>
      <c r="E190">
        <v>92.103099999999998</v>
      </c>
      <c r="F190">
        <v>56.192</v>
      </c>
      <c r="G190">
        <v>71.194699999999997</v>
      </c>
      <c r="H190">
        <v>28.805299999999999</v>
      </c>
      <c r="I190">
        <v>105</v>
      </c>
      <c r="J190">
        <v>100</v>
      </c>
      <c r="K190">
        <v>100</v>
      </c>
      <c r="L190">
        <v>100</v>
      </c>
      <c r="M190">
        <v>332984.35632199998</v>
      </c>
      <c r="N190">
        <v>57596.989624000002</v>
      </c>
      <c r="O190">
        <v>274582.830158</v>
      </c>
      <c r="P190">
        <v>804.53653999999995</v>
      </c>
      <c r="Q190">
        <v>273.28821799999997</v>
      </c>
      <c r="R190">
        <v>3000</v>
      </c>
      <c r="S190">
        <v>10</v>
      </c>
      <c r="T190">
        <v>0.99</v>
      </c>
      <c r="U190">
        <v>0.61009890003702372</v>
      </c>
    </row>
    <row r="191" spans="1:21" x14ac:dyDescent="0.2">
      <c r="A191" s="16" t="s">
        <v>11</v>
      </c>
      <c r="B191">
        <v>4</v>
      </c>
      <c r="C191">
        <v>603.607007995</v>
      </c>
      <c r="D191">
        <v>62936</v>
      </c>
      <c r="E191">
        <v>92.103099999999998</v>
      </c>
      <c r="F191">
        <v>56.020400000000002</v>
      </c>
      <c r="G191">
        <v>71.336200000000005</v>
      </c>
      <c r="H191">
        <v>28.663799999999998</v>
      </c>
      <c r="I191">
        <v>105</v>
      </c>
      <c r="J191">
        <v>100</v>
      </c>
      <c r="K191">
        <v>100</v>
      </c>
      <c r="L191">
        <v>100</v>
      </c>
      <c r="M191">
        <v>333490.22112</v>
      </c>
      <c r="N191">
        <v>57596.989624000002</v>
      </c>
      <c r="O191">
        <v>275089.11387599999</v>
      </c>
      <c r="P191">
        <v>804.11761999999999</v>
      </c>
      <c r="Q191">
        <v>272.67866099999998</v>
      </c>
      <c r="R191">
        <v>3000</v>
      </c>
      <c r="S191">
        <v>10</v>
      </c>
      <c r="T191">
        <v>0.99</v>
      </c>
      <c r="U191">
        <v>0.60823577056581157</v>
      </c>
    </row>
    <row r="192" spans="1:21" x14ac:dyDescent="0.2">
      <c r="A192" s="16" t="s">
        <v>11</v>
      </c>
      <c r="B192">
        <v>4</v>
      </c>
      <c r="C192">
        <v>596.81918934099997</v>
      </c>
      <c r="D192">
        <v>62936</v>
      </c>
      <c r="E192">
        <v>92.103099999999998</v>
      </c>
      <c r="F192">
        <v>56.031500000000001</v>
      </c>
      <c r="G192">
        <v>71.3078</v>
      </c>
      <c r="H192">
        <v>28.6922</v>
      </c>
      <c r="I192">
        <v>105</v>
      </c>
      <c r="J192">
        <v>100</v>
      </c>
      <c r="K192">
        <v>100</v>
      </c>
      <c r="L192">
        <v>100</v>
      </c>
      <c r="M192">
        <v>332640.51051300002</v>
      </c>
      <c r="N192">
        <v>57596.989624000002</v>
      </c>
      <c r="O192">
        <v>274238.047319</v>
      </c>
      <c r="P192">
        <v>805.47357</v>
      </c>
      <c r="Q192">
        <v>272.95311400000003</v>
      </c>
      <c r="R192">
        <v>3000</v>
      </c>
      <c r="S192">
        <v>10</v>
      </c>
      <c r="T192">
        <v>0.99</v>
      </c>
      <c r="U192">
        <v>0.60835628768195649</v>
      </c>
    </row>
    <row r="193" spans="1:21" x14ac:dyDescent="0.2">
      <c r="A193" s="16" t="s">
        <v>11</v>
      </c>
      <c r="B193">
        <v>4</v>
      </c>
      <c r="C193">
        <v>598.47849100099995</v>
      </c>
      <c r="D193">
        <v>62936</v>
      </c>
      <c r="E193">
        <v>92.103099999999998</v>
      </c>
      <c r="F193">
        <v>56.101399999999998</v>
      </c>
      <c r="G193">
        <v>71.233099999999993</v>
      </c>
      <c r="H193">
        <v>28.7669</v>
      </c>
      <c r="I193">
        <v>105</v>
      </c>
      <c r="J193">
        <v>100</v>
      </c>
      <c r="K193">
        <v>100</v>
      </c>
      <c r="L193">
        <v>100</v>
      </c>
      <c r="M193">
        <v>332503.44757900003</v>
      </c>
      <c r="N193">
        <v>57596.989624000002</v>
      </c>
      <c r="O193">
        <v>274101.90589499997</v>
      </c>
      <c r="P193">
        <v>804.55205999999998</v>
      </c>
      <c r="Q193">
        <v>273.13225399999999</v>
      </c>
      <c r="R193">
        <v>3000</v>
      </c>
      <c r="S193">
        <v>10</v>
      </c>
      <c r="T193">
        <v>0.99</v>
      </c>
      <c r="U193">
        <v>0.60911521979173344</v>
      </c>
    </row>
    <row r="194" spans="1:21" x14ac:dyDescent="0.2">
      <c r="A194" s="16" t="s">
        <v>11</v>
      </c>
      <c r="B194">
        <v>4</v>
      </c>
      <c r="C194">
        <v>598.88748181799997</v>
      </c>
      <c r="D194">
        <v>62936</v>
      </c>
      <c r="E194">
        <v>92.103099999999998</v>
      </c>
      <c r="F194">
        <v>56.0458</v>
      </c>
      <c r="G194">
        <v>71.275499999999994</v>
      </c>
      <c r="H194">
        <v>28.724499999999999</v>
      </c>
      <c r="I194">
        <v>105</v>
      </c>
      <c r="J194">
        <v>100</v>
      </c>
      <c r="K194">
        <v>100</v>
      </c>
      <c r="L194">
        <v>100</v>
      </c>
      <c r="M194">
        <v>332588.90820900002</v>
      </c>
      <c r="N194">
        <v>57596.989624000002</v>
      </c>
      <c r="O194">
        <v>274187.91536500002</v>
      </c>
      <c r="P194">
        <v>804.00322000000006</v>
      </c>
      <c r="Q194">
        <v>273.101472</v>
      </c>
      <c r="R194">
        <v>3000</v>
      </c>
      <c r="S194">
        <v>10</v>
      </c>
      <c r="T194">
        <v>0.99</v>
      </c>
      <c r="U194">
        <v>0.60851154847122413</v>
      </c>
    </row>
    <row r="195" spans="1:21" x14ac:dyDescent="0.2">
      <c r="A195" s="16" t="s">
        <v>11</v>
      </c>
      <c r="B195">
        <v>4</v>
      </c>
      <c r="C195">
        <v>600.356437218</v>
      </c>
      <c r="D195">
        <v>62936</v>
      </c>
      <c r="E195">
        <v>92.103099999999998</v>
      </c>
      <c r="F195">
        <v>56.145899999999997</v>
      </c>
      <c r="G195">
        <v>71.488</v>
      </c>
      <c r="H195">
        <v>28.512</v>
      </c>
      <c r="I195">
        <v>105</v>
      </c>
      <c r="J195">
        <v>100</v>
      </c>
      <c r="K195">
        <v>100</v>
      </c>
      <c r="L195">
        <v>100</v>
      </c>
      <c r="M195">
        <v>332493.20308299997</v>
      </c>
      <c r="N195">
        <v>57596.989624000002</v>
      </c>
      <c r="O195">
        <v>274092.62566899997</v>
      </c>
      <c r="P195">
        <v>803.58779000000004</v>
      </c>
      <c r="Q195">
        <v>272.24933399999998</v>
      </c>
      <c r="R195">
        <v>3000</v>
      </c>
      <c r="S195">
        <v>10</v>
      </c>
      <c r="T195">
        <v>0.99</v>
      </c>
      <c r="U195">
        <v>0.60959837399609784</v>
      </c>
    </row>
    <row r="196" spans="1:21" x14ac:dyDescent="0.2">
      <c r="A196" s="16" t="s">
        <v>11</v>
      </c>
      <c r="B196">
        <v>4</v>
      </c>
      <c r="C196">
        <v>598.21898778599996</v>
      </c>
      <c r="D196">
        <v>62936</v>
      </c>
      <c r="E196">
        <v>92.103099999999998</v>
      </c>
      <c r="F196">
        <v>56.002899999999997</v>
      </c>
      <c r="G196">
        <v>71.310199999999995</v>
      </c>
      <c r="H196">
        <v>28.689800000000002</v>
      </c>
      <c r="I196">
        <v>105</v>
      </c>
      <c r="J196">
        <v>100</v>
      </c>
      <c r="K196">
        <v>100</v>
      </c>
      <c r="L196">
        <v>100</v>
      </c>
      <c r="M196">
        <v>333368.21887600003</v>
      </c>
      <c r="N196">
        <v>57596.989624000002</v>
      </c>
      <c r="O196">
        <v>274966.63644199999</v>
      </c>
      <c r="P196">
        <v>804.59280999999999</v>
      </c>
      <c r="Q196">
        <v>272.69634000000002</v>
      </c>
      <c r="R196">
        <v>3000</v>
      </c>
      <c r="S196">
        <v>10</v>
      </c>
      <c r="T196">
        <v>0.99</v>
      </c>
      <c r="U196">
        <v>0.60804576610342109</v>
      </c>
    </row>
    <row r="197" spans="1:21" x14ac:dyDescent="0.2">
      <c r="A197" s="16" t="s">
        <v>11</v>
      </c>
      <c r="B197">
        <v>4</v>
      </c>
      <c r="C197">
        <v>597.29813217000003</v>
      </c>
      <c r="D197">
        <v>62936</v>
      </c>
      <c r="E197">
        <v>92.103099999999998</v>
      </c>
      <c r="F197">
        <v>55.872599999999998</v>
      </c>
      <c r="G197">
        <v>71.524900000000002</v>
      </c>
      <c r="H197">
        <v>28.475100000000001</v>
      </c>
      <c r="I197">
        <v>105</v>
      </c>
      <c r="J197">
        <v>100</v>
      </c>
      <c r="K197">
        <v>100</v>
      </c>
      <c r="L197">
        <v>100</v>
      </c>
      <c r="M197">
        <v>334082.78342400002</v>
      </c>
      <c r="N197">
        <v>57596.989624000002</v>
      </c>
      <c r="O197">
        <v>275681.16514</v>
      </c>
      <c r="P197">
        <v>804.62865999999997</v>
      </c>
      <c r="Q197">
        <v>272.310654</v>
      </c>
      <c r="R197">
        <v>3000</v>
      </c>
      <c r="S197">
        <v>10</v>
      </c>
      <c r="T197">
        <v>0.99</v>
      </c>
      <c r="U197">
        <v>0.60663104716345051</v>
      </c>
    </row>
    <row r="198" spans="1:21" x14ac:dyDescent="0.2">
      <c r="A198" s="16" t="s">
        <v>11</v>
      </c>
      <c r="B198">
        <v>4</v>
      </c>
      <c r="C198">
        <v>599.21705771400002</v>
      </c>
      <c r="D198">
        <v>62936</v>
      </c>
      <c r="E198">
        <v>92.103099999999998</v>
      </c>
      <c r="F198">
        <v>56.2254</v>
      </c>
      <c r="G198">
        <v>71.0959</v>
      </c>
      <c r="H198">
        <v>28.9041</v>
      </c>
      <c r="I198">
        <v>105</v>
      </c>
      <c r="J198">
        <v>100</v>
      </c>
      <c r="K198">
        <v>100</v>
      </c>
      <c r="L198">
        <v>100</v>
      </c>
      <c r="M198">
        <v>332088.46085999999</v>
      </c>
      <c r="N198">
        <v>57596.989624000002</v>
      </c>
      <c r="O198">
        <v>273686.40992599999</v>
      </c>
      <c r="P198">
        <v>805.06131000000005</v>
      </c>
      <c r="Q198">
        <v>273.39255300000002</v>
      </c>
      <c r="R198">
        <v>3000</v>
      </c>
      <c r="S198">
        <v>10</v>
      </c>
      <c r="T198">
        <v>0.99</v>
      </c>
      <c r="U198">
        <v>0.61046153712524331</v>
      </c>
    </row>
    <row r="199" spans="1:21" x14ac:dyDescent="0.2">
      <c r="A199" s="16" t="s">
        <v>11</v>
      </c>
      <c r="B199">
        <v>4</v>
      </c>
      <c r="C199">
        <v>599.87583256300002</v>
      </c>
      <c r="D199">
        <v>62936</v>
      </c>
      <c r="E199">
        <v>92.103099999999998</v>
      </c>
      <c r="F199">
        <v>55.928199999999997</v>
      </c>
      <c r="G199">
        <v>71.1554</v>
      </c>
      <c r="H199">
        <v>28.8446</v>
      </c>
      <c r="I199">
        <v>105</v>
      </c>
      <c r="J199">
        <v>100</v>
      </c>
      <c r="K199">
        <v>100</v>
      </c>
      <c r="L199">
        <v>100</v>
      </c>
      <c r="M199">
        <v>333884.87027399999</v>
      </c>
      <c r="N199">
        <v>57596.989624000002</v>
      </c>
      <c r="O199">
        <v>275483.55365999998</v>
      </c>
      <c r="P199">
        <v>804.32699000000002</v>
      </c>
      <c r="Q199">
        <v>273.16782000000001</v>
      </c>
      <c r="R199">
        <v>3000</v>
      </c>
      <c r="S199">
        <v>10</v>
      </c>
      <c r="T199">
        <v>0.99</v>
      </c>
      <c r="U199">
        <v>0.60723471848395982</v>
      </c>
    </row>
    <row r="200" spans="1:21" x14ac:dyDescent="0.2">
      <c r="A200" s="16" t="s">
        <v>11</v>
      </c>
      <c r="B200">
        <v>4</v>
      </c>
      <c r="C200">
        <v>596.07436392700004</v>
      </c>
      <c r="D200">
        <v>62936</v>
      </c>
      <c r="E200">
        <v>92.103099999999998</v>
      </c>
      <c r="F200">
        <v>55.96</v>
      </c>
      <c r="G200">
        <v>71.146299999999997</v>
      </c>
      <c r="H200">
        <v>28.8537</v>
      </c>
      <c r="I200">
        <v>105</v>
      </c>
      <c r="J200">
        <v>100</v>
      </c>
      <c r="K200">
        <v>100</v>
      </c>
      <c r="L200">
        <v>100</v>
      </c>
      <c r="M200">
        <v>333260.41148800001</v>
      </c>
      <c r="N200">
        <v>57596.989624000002</v>
      </c>
      <c r="O200">
        <v>274858.55396400002</v>
      </c>
      <c r="P200">
        <v>804.86789999999996</v>
      </c>
      <c r="Q200">
        <v>273.17949900000002</v>
      </c>
      <c r="R200">
        <v>3000</v>
      </c>
      <c r="S200">
        <v>10</v>
      </c>
      <c r="T200">
        <v>0.99</v>
      </c>
      <c r="U200">
        <v>0.60757998373561806</v>
      </c>
    </row>
    <row r="201" spans="1:21" x14ac:dyDescent="0.2">
      <c r="A201" s="16" t="s">
        <v>11</v>
      </c>
      <c r="B201">
        <v>4</v>
      </c>
      <c r="C201">
        <v>598.138491821</v>
      </c>
      <c r="D201">
        <v>62936</v>
      </c>
      <c r="E201">
        <v>92.103099999999998</v>
      </c>
      <c r="F201">
        <v>56.009300000000003</v>
      </c>
      <c r="G201">
        <v>71.449600000000004</v>
      </c>
      <c r="H201">
        <v>28.5504</v>
      </c>
      <c r="I201">
        <v>105</v>
      </c>
      <c r="J201">
        <v>100</v>
      </c>
      <c r="K201">
        <v>100</v>
      </c>
      <c r="L201">
        <v>100</v>
      </c>
      <c r="M201">
        <v>332780.55278000003</v>
      </c>
      <c r="N201">
        <v>57596.989624000002</v>
      </c>
      <c r="O201">
        <v>274378.84653600003</v>
      </c>
      <c r="P201">
        <v>804.71662000000003</v>
      </c>
      <c r="Q201">
        <v>272.66684500000002</v>
      </c>
      <c r="R201">
        <v>3000</v>
      </c>
      <c r="S201">
        <v>10</v>
      </c>
      <c r="T201">
        <v>0.99</v>
      </c>
      <c r="U201">
        <v>0.60811525344966677</v>
      </c>
    </row>
    <row r="202" spans="1:21" x14ac:dyDescent="0.2">
      <c r="A202" s="16" t="s">
        <v>11</v>
      </c>
      <c r="B202">
        <v>4</v>
      </c>
      <c r="C202">
        <v>600.97874870199996</v>
      </c>
      <c r="D202">
        <v>62936</v>
      </c>
      <c r="E202">
        <v>92.103099999999998</v>
      </c>
      <c r="F202">
        <v>56.064900000000002</v>
      </c>
      <c r="G202">
        <v>71.339100000000002</v>
      </c>
      <c r="H202">
        <v>28.660900000000002</v>
      </c>
      <c r="I202">
        <v>105</v>
      </c>
      <c r="J202">
        <v>100</v>
      </c>
      <c r="K202">
        <v>100</v>
      </c>
      <c r="L202">
        <v>100</v>
      </c>
      <c r="M202">
        <v>333211.88254899997</v>
      </c>
      <c r="N202">
        <v>57596.989624000002</v>
      </c>
      <c r="O202">
        <v>274809.90578500001</v>
      </c>
      <c r="P202">
        <v>804.98713999999995</v>
      </c>
      <c r="Q202">
        <v>272.93064800000002</v>
      </c>
      <c r="R202">
        <v>3000</v>
      </c>
      <c r="S202">
        <v>10</v>
      </c>
      <c r="T202">
        <v>0.99</v>
      </c>
      <c r="U202">
        <v>0.60871892477017608</v>
      </c>
    </row>
    <row r="203" spans="1:21" x14ac:dyDescent="0.2">
      <c r="A203" s="16" t="s">
        <v>11</v>
      </c>
      <c r="B203">
        <v>4</v>
      </c>
      <c r="C203">
        <v>600.68053722100001</v>
      </c>
      <c r="D203">
        <v>62936</v>
      </c>
      <c r="E203">
        <v>92.103099999999998</v>
      </c>
      <c r="F203">
        <v>56.055399999999999</v>
      </c>
      <c r="G203">
        <v>71.501499999999993</v>
      </c>
      <c r="H203">
        <v>28.4985</v>
      </c>
      <c r="I203">
        <v>105</v>
      </c>
      <c r="J203">
        <v>100</v>
      </c>
      <c r="K203">
        <v>100</v>
      </c>
      <c r="L203">
        <v>100</v>
      </c>
      <c r="M203">
        <v>333133.37701900001</v>
      </c>
      <c r="N203">
        <v>57596.989624000002</v>
      </c>
      <c r="O203">
        <v>274731.42382500001</v>
      </c>
      <c r="P203">
        <v>804.96357</v>
      </c>
      <c r="Q203">
        <v>272.26594299999999</v>
      </c>
      <c r="R203">
        <v>3000</v>
      </c>
      <c r="S203">
        <v>10</v>
      </c>
      <c r="T203">
        <v>0.99</v>
      </c>
      <c r="U203">
        <v>0.60861577949059265</v>
      </c>
    </row>
    <row r="204" spans="1:21" x14ac:dyDescent="0.2">
      <c r="A204" s="16" t="s">
        <v>11</v>
      </c>
      <c r="B204">
        <v>4</v>
      </c>
      <c r="C204">
        <v>599.13721518</v>
      </c>
      <c r="D204">
        <v>62936</v>
      </c>
      <c r="E204">
        <v>92.103099999999998</v>
      </c>
      <c r="F204">
        <v>56.076000000000001</v>
      </c>
      <c r="G204">
        <v>71.259799999999998</v>
      </c>
      <c r="H204">
        <v>28.740200000000002</v>
      </c>
      <c r="I204">
        <v>105</v>
      </c>
      <c r="J204">
        <v>100</v>
      </c>
      <c r="K204">
        <v>100</v>
      </c>
      <c r="L204">
        <v>100</v>
      </c>
      <c r="M204">
        <v>332973.09039000003</v>
      </c>
      <c r="N204">
        <v>57596.989624000002</v>
      </c>
      <c r="O204">
        <v>274571.527206</v>
      </c>
      <c r="P204">
        <v>804.57356000000004</v>
      </c>
      <c r="Q204">
        <v>272.64749899999998</v>
      </c>
      <c r="R204">
        <v>3000</v>
      </c>
      <c r="S204">
        <v>10</v>
      </c>
      <c r="T204">
        <v>0.99</v>
      </c>
      <c r="U204">
        <v>0.60883944188632089</v>
      </c>
    </row>
    <row r="205" spans="1:21" x14ac:dyDescent="0.2">
      <c r="A205" s="16" t="s">
        <v>11</v>
      </c>
      <c r="B205">
        <v>4</v>
      </c>
      <c r="C205">
        <v>597.32735062999996</v>
      </c>
      <c r="D205">
        <v>62936</v>
      </c>
      <c r="E205">
        <v>92.103099999999998</v>
      </c>
      <c r="F205">
        <v>55.942500000000003</v>
      </c>
      <c r="G205">
        <v>71.540599999999998</v>
      </c>
      <c r="H205">
        <v>28.459399999999999</v>
      </c>
      <c r="I205">
        <v>105</v>
      </c>
      <c r="J205">
        <v>100</v>
      </c>
      <c r="K205">
        <v>100</v>
      </c>
      <c r="L205">
        <v>100</v>
      </c>
      <c r="M205">
        <v>333691.708682</v>
      </c>
      <c r="N205">
        <v>57596.989624000002</v>
      </c>
      <c r="O205">
        <v>275289.14612799999</v>
      </c>
      <c r="P205">
        <v>805.57293000000004</v>
      </c>
      <c r="Q205">
        <v>272.08476899999999</v>
      </c>
      <c r="R205">
        <v>3000</v>
      </c>
      <c r="S205">
        <v>10</v>
      </c>
      <c r="T205">
        <v>0.99</v>
      </c>
      <c r="U205">
        <v>0.60738997927322758</v>
      </c>
    </row>
    <row r="206" spans="1:21" x14ac:dyDescent="0.2">
      <c r="A206" s="16" t="s">
        <v>11</v>
      </c>
      <c r="B206">
        <v>4</v>
      </c>
      <c r="C206">
        <v>600.94907425199995</v>
      </c>
      <c r="D206">
        <v>62936</v>
      </c>
      <c r="E206">
        <v>92.103099999999998</v>
      </c>
      <c r="F206">
        <v>56.126899999999999</v>
      </c>
      <c r="G206">
        <v>71.291499999999999</v>
      </c>
      <c r="H206">
        <v>28.708500000000001</v>
      </c>
      <c r="I206">
        <v>105</v>
      </c>
      <c r="J206">
        <v>100</v>
      </c>
      <c r="K206">
        <v>100</v>
      </c>
      <c r="L206">
        <v>100</v>
      </c>
      <c r="M206">
        <v>332754.37493500003</v>
      </c>
      <c r="N206">
        <v>57596.989624000002</v>
      </c>
      <c r="O206">
        <v>274352.23346100003</v>
      </c>
      <c r="P206">
        <v>805.15184999999997</v>
      </c>
      <c r="Q206">
        <v>272.98148099999997</v>
      </c>
      <c r="R206">
        <v>3000</v>
      </c>
      <c r="S206">
        <v>10</v>
      </c>
      <c r="T206">
        <v>0.99</v>
      </c>
      <c r="U206">
        <v>0.60939208343693096</v>
      </c>
    </row>
    <row r="207" spans="1:21" x14ac:dyDescent="0.2">
      <c r="A207" s="16" t="s">
        <v>11</v>
      </c>
      <c r="B207">
        <v>4</v>
      </c>
      <c r="C207">
        <v>597.11043909800003</v>
      </c>
      <c r="D207">
        <v>62936</v>
      </c>
      <c r="E207">
        <v>92.103099999999998</v>
      </c>
      <c r="F207">
        <v>56.050600000000003</v>
      </c>
      <c r="G207">
        <v>70.917900000000003</v>
      </c>
      <c r="H207">
        <v>29.082100000000001</v>
      </c>
      <c r="I207">
        <v>105</v>
      </c>
      <c r="J207">
        <v>100</v>
      </c>
      <c r="K207">
        <v>100</v>
      </c>
      <c r="L207">
        <v>100</v>
      </c>
      <c r="M207">
        <v>332940.952842</v>
      </c>
      <c r="N207">
        <v>57596.989624000002</v>
      </c>
      <c r="O207">
        <v>274539.24600799999</v>
      </c>
      <c r="P207">
        <v>804.71721000000002</v>
      </c>
      <c r="Q207">
        <v>273.69967700000001</v>
      </c>
      <c r="R207">
        <v>3000</v>
      </c>
      <c r="S207">
        <v>10</v>
      </c>
      <c r="T207">
        <v>0.99</v>
      </c>
      <c r="U207">
        <v>0.60856366398090844</v>
      </c>
    </row>
    <row r="208" spans="1:21" x14ac:dyDescent="0.2">
      <c r="A208" s="16" t="s">
        <v>11</v>
      </c>
      <c r="B208">
        <v>4</v>
      </c>
      <c r="C208">
        <v>595.41556308999998</v>
      </c>
      <c r="D208">
        <v>62936</v>
      </c>
      <c r="E208">
        <v>92.103099999999998</v>
      </c>
      <c r="F208">
        <v>56.096699999999998</v>
      </c>
      <c r="G208">
        <v>71.332700000000003</v>
      </c>
      <c r="H208">
        <v>28.667300000000001</v>
      </c>
      <c r="I208">
        <v>105</v>
      </c>
      <c r="J208">
        <v>100</v>
      </c>
      <c r="K208">
        <v>100</v>
      </c>
      <c r="L208">
        <v>100</v>
      </c>
      <c r="M208">
        <v>332769.98082499998</v>
      </c>
      <c r="N208">
        <v>57596.989624000002</v>
      </c>
      <c r="O208">
        <v>274368.251391</v>
      </c>
      <c r="P208">
        <v>804.73981000000003</v>
      </c>
      <c r="Q208">
        <v>272.95621599999998</v>
      </c>
      <c r="R208">
        <v>3000</v>
      </c>
      <c r="S208">
        <v>10</v>
      </c>
      <c r="T208">
        <v>0.99</v>
      </c>
      <c r="U208">
        <v>0.60906419002183421</v>
      </c>
    </row>
    <row r="209" spans="1:21" x14ac:dyDescent="0.2">
      <c r="A209" s="16" t="s">
        <v>11</v>
      </c>
      <c r="B209">
        <v>4</v>
      </c>
      <c r="C209">
        <v>599.22554530599996</v>
      </c>
      <c r="D209">
        <v>62936</v>
      </c>
      <c r="E209">
        <v>92.103099999999998</v>
      </c>
      <c r="F209">
        <v>56.212699999999998</v>
      </c>
      <c r="G209">
        <v>71.244799999999998</v>
      </c>
      <c r="H209">
        <v>28.755199999999999</v>
      </c>
      <c r="I209">
        <v>105</v>
      </c>
      <c r="J209">
        <v>100</v>
      </c>
      <c r="K209">
        <v>100</v>
      </c>
      <c r="L209">
        <v>100</v>
      </c>
      <c r="M209">
        <v>332050.88028699998</v>
      </c>
      <c r="N209">
        <v>57596.989624000002</v>
      </c>
      <c r="O209">
        <v>273648.73901299998</v>
      </c>
      <c r="P209">
        <v>805.15165000000002</v>
      </c>
      <c r="Q209">
        <v>273.15033699999998</v>
      </c>
      <c r="R209">
        <v>3000</v>
      </c>
      <c r="S209">
        <v>10</v>
      </c>
      <c r="T209">
        <v>0.99</v>
      </c>
      <c r="U209">
        <v>0.61032364817253704</v>
      </c>
    </row>
    <row r="210" spans="1:21" x14ac:dyDescent="0.2">
      <c r="A210" s="16" t="s">
        <v>11</v>
      </c>
      <c r="B210">
        <v>4</v>
      </c>
      <c r="C210">
        <v>595.91223016200001</v>
      </c>
      <c r="D210">
        <v>62936</v>
      </c>
      <c r="E210">
        <v>92.103099999999998</v>
      </c>
      <c r="F210">
        <v>55.883800000000001</v>
      </c>
      <c r="G210">
        <v>71.013099999999994</v>
      </c>
      <c r="H210">
        <v>28.986899999999999</v>
      </c>
      <c r="I210">
        <v>105</v>
      </c>
      <c r="J210">
        <v>100</v>
      </c>
      <c r="K210">
        <v>100</v>
      </c>
      <c r="L210">
        <v>100</v>
      </c>
      <c r="M210">
        <v>333160.84159999999</v>
      </c>
      <c r="N210">
        <v>57596.989624000002</v>
      </c>
      <c r="O210">
        <v>274758.96095600002</v>
      </c>
      <c r="P210">
        <v>804.89102000000003</v>
      </c>
      <c r="Q210">
        <v>273.95728700000001</v>
      </c>
      <c r="R210">
        <v>3000</v>
      </c>
      <c r="S210">
        <v>10</v>
      </c>
      <c r="T210">
        <v>0.99</v>
      </c>
      <c r="U210">
        <v>0.6067526500193805</v>
      </c>
    </row>
    <row r="211" spans="1:21" x14ac:dyDescent="0.2">
      <c r="A211" s="16" t="s">
        <v>11</v>
      </c>
      <c r="B211">
        <v>4</v>
      </c>
      <c r="C211">
        <v>598.04872349000004</v>
      </c>
      <c r="D211">
        <v>62936</v>
      </c>
      <c r="E211">
        <v>92.103099999999998</v>
      </c>
      <c r="F211">
        <v>55.9251</v>
      </c>
      <c r="G211">
        <v>71.182199999999995</v>
      </c>
      <c r="H211">
        <v>28.817799999999998</v>
      </c>
      <c r="I211">
        <v>105</v>
      </c>
      <c r="J211">
        <v>100</v>
      </c>
      <c r="K211">
        <v>100</v>
      </c>
      <c r="L211">
        <v>100</v>
      </c>
      <c r="M211">
        <v>333954.78729499999</v>
      </c>
      <c r="N211">
        <v>57596.989624000002</v>
      </c>
      <c r="O211">
        <v>275553.07944100001</v>
      </c>
      <c r="P211">
        <v>804.71822999999995</v>
      </c>
      <c r="Q211">
        <v>273.17316</v>
      </c>
      <c r="R211">
        <v>3000</v>
      </c>
      <c r="S211">
        <v>10</v>
      </c>
      <c r="T211">
        <v>0.99</v>
      </c>
      <c r="U211">
        <v>0.60720106055062206</v>
      </c>
    </row>
    <row r="212" spans="1:21" x14ac:dyDescent="0.2">
      <c r="A212" s="16" t="s">
        <v>10</v>
      </c>
      <c r="B212">
        <v>4</v>
      </c>
      <c r="C212">
        <v>283.321061284</v>
      </c>
      <c r="D212">
        <v>84059</v>
      </c>
      <c r="E212">
        <v>92.245900000000006</v>
      </c>
      <c r="F212">
        <v>51.935000000000002</v>
      </c>
      <c r="G212">
        <v>74.715999999999994</v>
      </c>
      <c r="H212">
        <v>25.283999999999999</v>
      </c>
      <c r="I212">
        <v>105</v>
      </c>
      <c r="J212">
        <v>100</v>
      </c>
      <c r="K212">
        <v>100</v>
      </c>
      <c r="L212">
        <v>100</v>
      </c>
      <c r="M212">
        <v>442394.17485299997</v>
      </c>
      <c r="N212">
        <v>75737.200760000007</v>
      </c>
      <c r="O212">
        <v>365579.984383</v>
      </c>
      <c r="P212">
        <v>1076.9897100000001</v>
      </c>
      <c r="Q212">
        <v>263.99046600000003</v>
      </c>
      <c r="R212">
        <v>4000</v>
      </c>
      <c r="S212">
        <v>10</v>
      </c>
      <c r="T212">
        <v>0.99</v>
      </c>
      <c r="U212">
        <v>0.56300605230151146</v>
      </c>
    </row>
    <row r="213" spans="1:21" x14ac:dyDescent="0.2">
      <c r="A213" s="16" t="s">
        <v>10</v>
      </c>
      <c r="B213">
        <v>4</v>
      </c>
      <c r="C213">
        <v>283.46001022500002</v>
      </c>
      <c r="D213">
        <v>84059</v>
      </c>
      <c r="E213">
        <v>92.245900000000006</v>
      </c>
      <c r="F213">
        <v>51.988500000000002</v>
      </c>
      <c r="G213">
        <v>74.272900000000007</v>
      </c>
      <c r="H213">
        <v>25.7271</v>
      </c>
      <c r="I213">
        <v>105</v>
      </c>
      <c r="J213">
        <v>100</v>
      </c>
      <c r="K213">
        <v>100</v>
      </c>
      <c r="L213">
        <v>100</v>
      </c>
      <c r="M213">
        <v>442686.76492099999</v>
      </c>
      <c r="N213">
        <v>75737.200760000007</v>
      </c>
      <c r="O213">
        <v>365872.37208100001</v>
      </c>
      <c r="P213">
        <v>1077.19208</v>
      </c>
      <c r="Q213">
        <v>265.241446</v>
      </c>
      <c r="R213">
        <v>4000</v>
      </c>
      <c r="S213">
        <v>10</v>
      </c>
      <c r="T213">
        <v>0.99</v>
      </c>
      <c r="U213">
        <v>0.56358602387748402</v>
      </c>
    </row>
    <row r="214" spans="1:21" x14ac:dyDescent="0.2">
      <c r="A214" s="16" t="s">
        <v>10</v>
      </c>
      <c r="B214">
        <v>4</v>
      </c>
      <c r="C214">
        <v>280.107085326</v>
      </c>
      <c r="D214">
        <v>84059</v>
      </c>
      <c r="E214">
        <v>92.245900000000006</v>
      </c>
      <c r="F214">
        <v>51.839799999999997</v>
      </c>
      <c r="G214">
        <v>74.318399999999997</v>
      </c>
      <c r="H214">
        <v>25.6816</v>
      </c>
      <c r="I214">
        <v>105</v>
      </c>
      <c r="J214">
        <v>100</v>
      </c>
      <c r="K214">
        <v>100</v>
      </c>
      <c r="L214">
        <v>100</v>
      </c>
      <c r="M214">
        <v>443235.07752300001</v>
      </c>
      <c r="N214">
        <v>75737.200760000007</v>
      </c>
      <c r="O214">
        <v>366419.67135299998</v>
      </c>
      <c r="P214">
        <v>1078.20541</v>
      </c>
      <c r="Q214">
        <v>264.91063100000002</v>
      </c>
      <c r="R214">
        <v>4000</v>
      </c>
      <c r="S214">
        <v>10</v>
      </c>
      <c r="T214">
        <v>0.99</v>
      </c>
      <c r="U214">
        <v>0.56197402811398656</v>
      </c>
    </row>
    <row r="215" spans="1:21" x14ac:dyDescent="0.2">
      <c r="A215" s="16" t="s">
        <v>10</v>
      </c>
      <c r="B215">
        <v>4</v>
      </c>
      <c r="C215">
        <v>281.37066873700002</v>
      </c>
      <c r="D215">
        <v>84059</v>
      </c>
      <c r="E215">
        <v>92.245900000000006</v>
      </c>
      <c r="F215">
        <v>51.935000000000002</v>
      </c>
      <c r="G215">
        <v>74.525800000000004</v>
      </c>
      <c r="H215">
        <v>25.4742</v>
      </c>
      <c r="I215">
        <v>105</v>
      </c>
      <c r="J215">
        <v>100</v>
      </c>
      <c r="K215">
        <v>100</v>
      </c>
      <c r="L215">
        <v>100</v>
      </c>
      <c r="M215">
        <v>443231.26739300002</v>
      </c>
      <c r="N215">
        <v>75737.200760000007</v>
      </c>
      <c r="O215">
        <v>366417.76585299999</v>
      </c>
      <c r="P215">
        <v>1076.30078</v>
      </c>
      <c r="Q215">
        <v>264.462086</v>
      </c>
      <c r="R215">
        <v>4000</v>
      </c>
      <c r="S215">
        <v>10</v>
      </c>
      <c r="T215">
        <v>0.99</v>
      </c>
      <c r="U215">
        <v>0.56300605230151146</v>
      </c>
    </row>
    <row r="216" spans="1:21" x14ac:dyDescent="0.2">
      <c r="A216" s="16" t="s">
        <v>10</v>
      </c>
      <c r="B216">
        <v>4</v>
      </c>
      <c r="C216">
        <v>282.20592368500002</v>
      </c>
      <c r="D216">
        <v>84059</v>
      </c>
      <c r="E216">
        <v>92.245900000000006</v>
      </c>
      <c r="F216">
        <v>51.642299999999999</v>
      </c>
      <c r="G216">
        <v>74.033600000000007</v>
      </c>
      <c r="H216">
        <v>25.9664</v>
      </c>
      <c r="I216">
        <v>105</v>
      </c>
      <c r="J216">
        <v>100</v>
      </c>
      <c r="K216">
        <v>100</v>
      </c>
      <c r="L216">
        <v>100</v>
      </c>
      <c r="M216">
        <v>444350.76081599999</v>
      </c>
      <c r="N216">
        <v>75737.200760000007</v>
      </c>
      <c r="O216">
        <v>367537.16996600002</v>
      </c>
      <c r="P216">
        <v>1076.3900900000001</v>
      </c>
      <c r="Q216">
        <v>265.66913299999999</v>
      </c>
      <c r="R216">
        <v>4000</v>
      </c>
      <c r="S216">
        <v>10</v>
      </c>
      <c r="T216">
        <v>0.99</v>
      </c>
      <c r="U216">
        <v>0.55983301154848064</v>
      </c>
    </row>
    <row r="217" spans="1:21" x14ac:dyDescent="0.2">
      <c r="A217" s="16" t="s">
        <v>10</v>
      </c>
      <c r="B217">
        <v>4</v>
      </c>
      <c r="C217">
        <v>282.96031526799999</v>
      </c>
      <c r="D217">
        <v>84059</v>
      </c>
      <c r="E217">
        <v>92.245900000000006</v>
      </c>
      <c r="F217">
        <v>51.981299999999997</v>
      </c>
      <c r="G217">
        <v>74.035899999999998</v>
      </c>
      <c r="H217">
        <v>25.964099999999998</v>
      </c>
      <c r="I217">
        <v>105</v>
      </c>
      <c r="J217">
        <v>100</v>
      </c>
      <c r="K217">
        <v>100</v>
      </c>
      <c r="L217">
        <v>100</v>
      </c>
      <c r="M217">
        <v>441906.222152</v>
      </c>
      <c r="N217">
        <v>75737.200760000007</v>
      </c>
      <c r="O217">
        <v>365091.58334200003</v>
      </c>
      <c r="P217">
        <v>1077.43805</v>
      </c>
      <c r="Q217">
        <v>265.94926199999998</v>
      </c>
      <c r="R217">
        <v>4000</v>
      </c>
      <c r="S217">
        <v>10</v>
      </c>
      <c r="T217">
        <v>0.99</v>
      </c>
      <c r="U217">
        <v>0.56350797162800725</v>
      </c>
    </row>
    <row r="218" spans="1:21" x14ac:dyDescent="0.2">
      <c r="A218" s="16" t="s">
        <v>10</v>
      </c>
      <c r="B218">
        <v>4</v>
      </c>
      <c r="C218">
        <v>282.10223866000001</v>
      </c>
      <c r="D218">
        <v>84059</v>
      </c>
      <c r="E218">
        <v>92.245900000000006</v>
      </c>
      <c r="F218">
        <v>51.722000000000001</v>
      </c>
      <c r="G218">
        <v>74.089699999999993</v>
      </c>
      <c r="H218">
        <v>25.910299999999999</v>
      </c>
      <c r="I218">
        <v>105</v>
      </c>
      <c r="J218">
        <v>100</v>
      </c>
      <c r="K218">
        <v>100</v>
      </c>
      <c r="L218">
        <v>100</v>
      </c>
      <c r="M218">
        <v>443472.75867100002</v>
      </c>
      <c r="N218">
        <v>75737.200760000007</v>
      </c>
      <c r="O218">
        <v>366659.37119099998</v>
      </c>
      <c r="P218">
        <v>1076.1867199999999</v>
      </c>
      <c r="Q218">
        <v>265.49895700000002</v>
      </c>
      <c r="R218">
        <v>4000</v>
      </c>
      <c r="S218">
        <v>10</v>
      </c>
      <c r="T218">
        <v>0.99</v>
      </c>
      <c r="U218">
        <v>0.56069700658782662</v>
      </c>
    </row>
    <row r="219" spans="1:21" x14ac:dyDescent="0.2">
      <c r="A219" s="16" t="s">
        <v>10</v>
      </c>
      <c r="B219">
        <v>4</v>
      </c>
      <c r="C219">
        <v>283.18266454299999</v>
      </c>
      <c r="D219">
        <v>84059</v>
      </c>
      <c r="E219">
        <v>92.245900000000006</v>
      </c>
      <c r="F219">
        <v>51.7684</v>
      </c>
      <c r="G219">
        <v>74.322100000000006</v>
      </c>
      <c r="H219">
        <v>25.677900000000001</v>
      </c>
      <c r="I219">
        <v>105</v>
      </c>
      <c r="J219">
        <v>100</v>
      </c>
      <c r="K219">
        <v>100</v>
      </c>
      <c r="L219">
        <v>100</v>
      </c>
      <c r="M219">
        <v>443882.93711699999</v>
      </c>
      <c r="N219">
        <v>75737.200760000007</v>
      </c>
      <c r="O219">
        <v>367068.362517</v>
      </c>
      <c r="P219">
        <v>1077.37384</v>
      </c>
      <c r="Q219">
        <v>264.84421700000001</v>
      </c>
      <c r="R219">
        <v>4000</v>
      </c>
      <c r="S219">
        <v>10</v>
      </c>
      <c r="T219">
        <v>0.99</v>
      </c>
      <c r="U219">
        <v>0.56120000997334296</v>
      </c>
    </row>
    <row r="220" spans="1:21" x14ac:dyDescent="0.2">
      <c r="A220" s="16" t="s">
        <v>10</v>
      </c>
      <c r="B220">
        <v>4</v>
      </c>
      <c r="C220">
        <v>279.71092154899998</v>
      </c>
      <c r="D220">
        <v>84059</v>
      </c>
      <c r="E220">
        <v>92.245900000000006</v>
      </c>
      <c r="F220">
        <v>51.867100000000001</v>
      </c>
      <c r="G220">
        <v>74.180599999999998</v>
      </c>
      <c r="H220">
        <v>25.819400000000002</v>
      </c>
      <c r="I220">
        <v>105</v>
      </c>
      <c r="J220">
        <v>100</v>
      </c>
      <c r="K220">
        <v>100</v>
      </c>
      <c r="L220">
        <v>100</v>
      </c>
      <c r="M220">
        <v>442154.65184000001</v>
      </c>
      <c r="N220">
        <v>75737.200760000007</v>
      </c>
      <c r="O220">
        <v>365339.81688</v>
      </c>
      <c r="P220">
        <v>1077.6342</v>
      </c>
      <c r="Q220">
        <v>265.365996</v>
      </c>
      <c r="R220">
        <v>4000</v>
      </c>
      <c r="S220">
        <v>10</v>
      </c>
      <c r="T220">
        <v>0.99</v>
      </c>
      <c r="U220">
        <v>0.5622699762265857</v>
      </c>
    </row>
    <row r="221" spans="1:21" x14ac:dyDescent="0.2">
      <c r="A221" s="16" t="s">
        <v>10</v>
      </c>
      <c r="B221">
        <v>4</v>
      </c>
      <c r="C221">
        <v>282.60944837</v>
      </c>
      <c r="D221">
        <v>84059</v>
      </c>
      <c r="E221">
        <v>92.245900000000006</v>
      </c>
      <c r="F221">
        <v>51.756500000000003</v>
      </c>
      <c r="G221">
        <v>74.231099999999998</v>
      </c>
      <c r="H221">
        <v>25.768899999999999</v>
      </c>
      <c r="I221">
        <v>105</v>
      </c>
      <c r="J221">
        <v>100</v>
      </c>
      <c r="K221">
        <v>100</v>
      </c>
      <c r="L221">
        <v>100</v>
      </c>
      <c r="M221">
        <v>443857.14429299999</v>
      </c>
      <c r="N221">
        <v>75737.200760000007</v>
      </c>
      <c r="O221">
        <v>367043.04763300001</v>
      </c>
      <c r="P221">
        <v>1076.8959</v>
      </c>
      <c r="Q221">
        <v>265.31766299999998</v>
      </c>
      <c r="R221">
        <v>4000</v>
      </c>
      <c r="S221">
        <v>10</v>
      </c>
      <c r="T221">
        <v>0.99</v>
      </c>
      <c r="U221">
        <v>0.56107100694990242</v>
      </c>
    </row>
    <row r="222" spans="1:21" x14ac:dyDescent="0.2">
      <c r="A222" s="16" t="s">
        <v>10</v>
      </c>
      <c r="B222">
        <v>4</v>
      </c>
      <c r="C222">
        <v>282.61700294500002</v>
      </c>
      <c r="D222">
        <v>84059</v>
      </c>
      <c r="E222">
        <v>92.245900000000006</v>
      </c>
      <c r="F222">
        <v>51.750599999999999</v>
      </c>
      <c r="G222">
        <v>74.267300000000006</v>
      </c>
      <c r="H222">
        <v>25.732700000000001</v>
      </c>
      <c r="I222">
        <v>105</v>
      </c>
      <c r="J222">
        <v>100</v>
      </c>
      <c r="K222">
        <v>100</v>
      </c>
      <c r="L222">
        <v>100</v>
      </c>
      <c r="M222">
        <v>444155.67111499998</v>
      </c>
      <c r="N222">
        <v>75737.200760000007</v>
      </c>
      <c r="O222">
        <v>367342.16046500002</v>
      </c>
      <c r="P222">
        <v>1076.30989</v>
      </c>
      <c r="Q222">
        <v>264.98111</v>
      </c>
      <c r="R222">
        <v>4000</v>
      </c>
      <c r="S222">
        <v>10</v>
      </c>
      <c r="T222">
        <v>0.99</v>
      </c>
      <c r="U222">
        <v>0.56100704746769225</v>
      </c>
    </row>
    <row r="223" spans="1:21" x14ac:dyDescent="0.2">
      <c r="A223" s="16" t="s">
        <v>10</v>
      </c>
      <c r="B223">
        <v>4</v>
      </c>
      <c r="C223">
        <v>281.36222304900002</v>
      </c>
      <c r="D223">
        <v>84059</v>
      </c>
      <c r="E223">
        <v>92.245900000000006</v>
      </c>
      <c r="F223">
        <v>51.855200000000004</v>
      </c>
      <c r="G223">
        <v>74.332999999999998</v>
      </c>
      <c r="H223">
        <v>25.667000000000002</v>
      </c>
      <c r="I223">
        <v>105</v>
      </c>
      <c r="J223">
        <v>100</v>
      </c>
      <c r="K223">
        <v>100</v>
      </c>
      <c r="L223">
        <v>100</v>
      </c>
      <c r="M223">
        <v>443104.192821</v>
      </c>
      <c r="N223">
        <v>75737.200760000007</v>
      </c>
      <c r="O223">
        <v>366290.32002099999</v>
      </c>
      <c r="P223">
        <v>1076.6720399999999</v>
      </c>
      <c r="Q223">
        <v>264.94063499999999</v>
      </c>
      <c r="R223">
        <v>4000</v>
      </c>
      <c r="S223">
        <v>10</v>
      </c>
      <c r="T223">
        <v>0.99</v>
      </c>
      <c r="U223">
        <v>0.56214097320314504</v>
      </c>
    </row>
    <row r="224" spans="1:21" x14ac:dyDescent="0.2">
      <c r="A224" s="16" t="s">
        <v>10</v>
      </c>
      <c r="B224">
        <v>4</v>
      </c>
      <c r="C224">
        <v>280.54557213300001</v>
      </c>
      <c r="D224">
        <v>84059</v>
      </c>
      <c r="E224">
        <v>92.245900000000006</v>
      </c>
      <c r="F224">
        <v>51.59</v>
      </c>
      <c r="G224">
        <v>74.556100000000001</v>
      </c>
      <c r="H224">
        <v>25.443899999999999</v>
      </c>
      <c r="I224">
        <v>105</v>
      </c>
      <c r="J224">
        <v>100</v>
      </c>
      <c r="K224">
        <v>100</v>
      </c>
      <c r="L224">
        <v>100</v>
      </c>
      <c r="M224">
        <v>445395.68029799999</v>
      </c>
      <c r="N224">
        <v>75737.200760000007</v>
      </c>
      <c r="O224">
        <v>368581.69046800002</v>
      </c>
      <c r="P224">
        <v>1076.78907</v>
      </c>
      <c r="Q224">
        <v>264.23114700000002</v>
      </c>
      <c r="R224">
        <v>4000</v>
      </c>
      <c r="S224">
        <v>10</v>
      </c>
      <c r="T224">
        <v>0.99</v>
      </c>
      <c r="U224">
        <v>0.55926604868075436</v>
      </c>
    </row>
    <row r="225" spans="1:21" x14ac:dyDescent="0.2">
      <c r="A225" s="16" t="s">
        <v>10</v>
      </c>
      <c r="B225">
        <v>4</v>
      </c>
      <c r="C225">
        <v>283.00637907599997</v>
      </c>
      <c r="D225">
        <v>84059</v>
      </c>
      <c r="E225">
        <v>92.245900000000006</v>
      </c>
      <c r="F225">
        <v>51.830300000000001</v>
      </c>
      <c r="G225">
        <v>74.306799999999996</v>
      </c>
      <c r="H225">
        <v>25.693200000000001</v>
      </c>
      <c r="I225">
        <v>105</v>
      </c>
      <c r="J225">
        <v>100</v>
      </c>
      <c r="K225">
        <v>100</v>
      </c>
      <c r="L225">
        <v>100</v>
      </c>
      <c r="M225">
        <v>444122.989841</v>
      </c>
      <c r="N225">
        <v>75737.200760000007</v>
      </c>
      <c r="O225">
        <v>367309.51371099998</v>
      </c>
      <c r="P225">
        <v>1076.2753700000001</v>
      </c>
      <c r="Q225">
        <v>264.86585100000002</v>
      </c>
      <c r="R225">
        <v>4000</v>
      </c>
      <c r="S225">
        <v>10</v>
      </c>
      <c r="T225">
        <v>0.99</v>
      </c>
      <c r="U225">
        <v>0.56187104250703823</v>
      </c>
    </row>
    <row r="226" spans="1:21" x14ac:dyDescent="0.2">
      <c r="A226" s="16" t="s">
        <v>10</v>
      </c>
      <c r="B226">
        <v>4</v>
      </c>
      <c r="C226">
        <v>282.77137563700001</v>
      </c>
      <c r="D226">
        <v>84059</v>
      </c>
      <c r="E226">
        <v>92.245900000000006</v>
      </c>
      <c r="F226">
        <v>51.959899999999998</v>
      </c>
      <c r="G226">
        <v>74.343500000000006</v>
      </c>
      <c r="H226">
        <v>25.656500000000001</v>
      </c>
      <c r="I226">
        <v>105</v>
      </c>
      <c r="J226">
        <v>100</v>
      </c>
      <c r="K226">
        <v>100</v>
      </c>
      <c r="L226">
        <v>100</v>
      </c>
      <c r="M226">
        <v>442778.62731299998</v>
      </c>
      <c r="N226">
        <v>75737.200760000007</v>
      </c>
      <c r="O226">
        <v>365963.842573</v>
      </c>
      <c r="P226">
        <v>1077.5839800000001</v>
      </c>
      <c r="Q226">
        <v>265.01299399999999</v>
      </c>
      <c r="R226">
        <v>4000</v>
      </c>
      <c r="S226">
        <v>10</v>
      </c>
      <c r="T226">
        <v>0.99</v>
      </c>
      <c r="U226">
        <v>0.56327598299761827</v>
      </c>
    </row>
    <row r="227" spans="1:21" x14ac:dyDescent="0.2">
      <c r="A227" s="16" t="s">
        <v>10</v>
      </c>
      <c r="B227">
        <v>4</v>
      </c>
      <c r="C227">
        <v>281.27763452099998</v>
      </c>
      <c r="D227">
        <v>84059</v>
      </c>
      <c r="E227">
        <v>92.245900000000006</v>
      </c>
      <c r="F227">
        <v>51.949199999999998</v>
      </c>
      <c r="G227">
        <v>74.164100000000005</v>
      </c>
      <c r="H227">
        <v>25.835899999999999</v>
      </c>
      <c r="I227">
        <v>105</v>
      </c>
      <c r="J227">
        <v>100</v>
      </c>
      <c r="K227">
        <v>100</v>
      </c>
      <c r="L227">
        <v>100</v>
      </c>
      <c r="M227">
        <v>442730.44944900001</v>
      </c>
      <c r="N227">
        <v>75737.200760000007</v>
      </c>
      <c r="O227">
        <v>365915.89590900001</v>
      </c>
      <c r="P227">
        <v>1077.3527799999999</v>
      </c>
      <c r="Q227">
        <v>265.39625699999999</v>
      </c>
      <c r="R227">
        <v>4000</v>
      </c>
      <c r="S227">
        <v>10</v>
      </c>
      <c r="T227">
        <v>0.99</v>
      </c>
      <c r="U227">
        <v>0.56315998868242378</v>
      </c>
    </row>
    <row r="228" spans="1:21" x14ac:dyDescent="0.2">
      <c r="A228" s="16" t="s">
        <v>10</v>
      </c>
      <c r="B228">
        <v>4</v>
      </c>
      <c r="C228">
        <v>284.41754858600001</v>
      </c>
      <c r="D228">
        <v>84059</v>
      </c>
      <c r="E228">
        <v>92.245900000000006</v>
      </c>
      <c r="F228">
        <v>51.8767</v>
      </c>
      <c r="G228">
        <v>74.125699999999995</v>
      </c>
      <c r="H228">
        <v>25.874300000000002</v>
      </c>
      <c r="I228">
        <v>105</v>
      </c>
      <c r="J228">
        <v>100</v>
      </c>
      <c r="K228">
        <v>100</v>
      </c>
      <c r="L228">
        <v>100</v>
      </c>
      <c r="M228">
        <v>442738.18486199999</v>
      </c>
      <c r="N228">
        <v>75737.200760000007</v>
      </c>
      <c r="O228">
        <v>365924.36650200002</v>
      </c>
      <c r="P228">
        <v>1076.6176</v>
      </c>
      <c r="Q228">
        <v>265.55254200000002</v>
      </c>
      <c r="R228">
        <v>4000</v>
      </c>
      <c r="S228">
        <v>10</v>
      </c>
      <c r="T228">
        <v>0.99</v>
      </c>
      <c r="U228">
        <v>0.56237404589255457</v>
      </c>
    </row>
    <row r="229" spans="1:21" x14ac:dyDescent="0.2">
      <c r="A229" s="16" t="s">
        <v>10</v>
      </c>
      <c r="B229">
        <v>4</v>
      </c>
      <c r="C229">
        <v>281.06360846500002</v>
      </c>
      <c r="D229">
        <v>84059</v>
      </c>
      <c r="E229">
        <v>92.245900000000006</v>
      </c>
      <c r="F229">
        <v>51.913499999999999</v>
      </c>
      <c r="G229">
        <v>74.334299999999999</v>
      </c>
      <c r="H229">
        <v>25.665700000000001</v>
      </c>
      <c r="I229">
        <v>105</v>
      </c>
      <c r="J229">
        <v>100</v>
      </c>
      <c r="K229">
        <v>100</v>
      </c>
      <c r="L229">
        <v>100</v>
      </c>
      <c r="M229">
        <v>442651.66243000003</v>
      </c>
      <c r="N229">
        <v>75737.200760000007</v>
      </c>
      <c r="O229">
        <v>365837.22759999998</v>
      </c>
      <c r="P229">
        <v>1077.23407</v>
      </c>
      <c r="Q229">
        <v>265.15612299999998</v>
      </c>
      <c r="R229">
        <v>4000</v>
      </c>
      <c r="S229">
        <v>10</v>
      </c>
      <c r="T229">
        <v>0.99</v>
      </c>
      <c r="U229">
        <v>0.56277297961210193</v>
      </c>
    </row>
    <row r="230" spans="1:21" x14ac:dyDescent="0.2">
      <c r="A230" s="16" t="s">
        <v>10</v>
      </c>
      <c r="B230">
        <v>4</v>
      </c>
      <c r="C230">
        <v>281.07757328399998</v>
      </c>
      <c r="D230">
        <v>84059</v>
      </c>
      <c r="E230">
        <v>92.245900000000006</v>
      </c>
      <c r="F230">
        <v>51.8172</v>
      </c>
      <c r="G230">
        <v>74.497799999999998</v>
      </c>
      <c r="H230">
        <v>25.502199999999998</v>
      </c>
      <c r="I230">
        <v>105</v>
      </c>
      <c r="J230">
        <v>100</v>
      </c>
      <c r="K230">
        <v>100</v>
      </c>
      <c r="L230">
        <v>100</v>
      </c>
      <c r="M230">
        <v>443236.58941100002</v>
      </c>
      <c r="N230">
        <v>75737.200760000007</v>
      </c>
      <c r="O230">
        <v>366422.83650099998</v>
      </c>
      <c r="P230">
        <v>1076.55215</v>
      </c>
      <c r="Q230">
        <v>264.48061000000001</v>
      </c>
      <c r="R230">
        <v>4000</v>
      </c>
      <c r="S230">
        <v>10</v>
      </c>
      <c r="T230">
        <v>0.99</v>
      </c>
      <c r="U230">
        <v>0.56172903077535152</v>
      </c>
    </row>
    <row r="231" spans="1:21" x14ac:dyDescent="0.2">
      <c r="A231" s="16" t="s">
        <v>10</v>
      </c>
      <c r="B231">
        <v>4</v>
      </c>
      <c r="C231">
        <v>281.47488575800003</v>
      </c>
      <c r="D231">
        <v>84059</v>
      </c>
      <c r="E231">
        <v>92.245900000000006</v>
      </c>
      <c r="F231">
        <v>51.792200000000001</v>
      </c>
      <c r="G231">
        <v>74.370599999999996</v>
      </c>
      <c r="H231">
        <v>25.6294</v>
      </c>
      <c r="I231">
        <v>105</v>
      </c>
      <c r="J231">
        <v>100</v>
      </c>
      <c r="K231">
        <v>100</v>
      </c>
      <c r="L231">
        <v>100</v>
      </c>
      <c r="M231">
        <v>443247.69779900002</v>
      </c>
      <c r="N231">
        <v>75737.200760000007</v>
      </c>
      <c r="O231">
        <v>366433.275769</v>
      </c>
      <c r="P231">
        <v>1077.22127</v>
      </c>
      <c r="Q231">
        <v>264.82535300000001</v>
      </c>
      <c r="R231">
        <v>4000</v>
      </c>
      <c r="S231">
        <v>10</v>
      </c>
      <c r="T231">
        <v>0.99</v>
      </c>
      <c r="U231">
        <v>0.56145801602022416</v>
      </c>
    </row>
    <row r="232" spans="1:21" x14ac:dyDescent="0.2">
      <c r="A232" s="16" t="s">
        <v>10</v>
      </c>
      <c r="B232">
        <v>4</v>
      </c>
      <c r="C232">
        <v>281.22899151399997</v>
      </c>
      <c r="D232">
        <v>84059</v>
      </c>
      <c r="E232">
        <v>92.245900000000006</v>
      </c>
      <c r="F232">
        <v>51.6447</v>
      </c>
      <c r="G232">
        <v>74.338899999999995</v>
      </c>
      <c r="H232">
        <v>25.661100000000001</v>
      </c>
      <c r="I232">
        <v>105</v>
      </c>
      <c r="J232">
        <v>100</v>
      </c>
      <c r="K232">
        <v>100</v>
      </c>
      <c r="L232">
        <v>100</v>
      </c>
      <c r="M232">
        <v>443800.45690200001</v>
      </c>
      <c r="N232">
        <v>75737.200760000007</v>
      </c>
      <c r="O232">
        <v>366986.56703199999</v>
      </c>
      <c r="P232">
        <v>1076.68911</v>
      </c>
      <c r="Q232">
        <v>265.09576499999997</v>
      </c>
      <c r="R232">
        <v>4000</v>
      </c>
      <c r="S232">
        <v>10</v>
      </c>
      <c r="T232">
        <v>0.99</v>
      </c>
      <c r="U232">
        <v>0.55985902896497297</v>
      </c>
    </row>
    <row r="233" spans="1:21" x14ac:dyDescent="0.2">
      <c r="A233" s="16" t="s">
        <v>10</v>
      </c>
      <c r="B233">
        <v>4</v>
      </c>
      <c r="C233">
        <v>280.20478985</v>
      </c>
      <c r="D233">
        <v>84059</v>
      </c>
      <c r="E233">
        <v>92.245900000000006</v>
      </c>
      <c r="F233">
        <v>51.832599999999999</v>
      </c>
      <c r="G233">
        <v>74.450299999999999</v>
      </c>
      <c r="H233">
        <v>25.549700000000001</v>
      </c>
      <c r="I233">
        <v>105</v>
      </c>
      <c r="J233">
        <v>100</v>
      </c>
      <c r="K233">
        <v>100</v>
      </c>
      <c r="L233">
        <v>100</v>
      </c>
      <c r="M233">
        <v>443445.94459199999</v>
      </c>
      <c r="N233">
        <v>75737.200760000007</v>
      </c>
      <c r="O233">
        <v>366632.26949199999</v>
      </c>
      <c r="P233">
        <v>1076.47434</v>
      </c>
      <c r="Q233">
        <v>264.69567899999998</v>
      </c>
      <c r="R233">
        <v>4000</v>
      </c>
      <c r="S233">
        <v>10</v>
      </c>
      <c r="T233">
        <v>0.99</v>
      </c>
      <c r="U233">
        <v>0.5618959758645099</v>
      </c>
    </row>
    <row r="234" spans="1:21" x14ac:dyDescent="0.2">
      <c r="A234" s="16" t="s">
        <v>10</v>
      </c>
      <c r="B234">
        <v>4</v>
      </c>
      <c r="C234">
        <v>281.97517636600003</v>
      </c>
      <c r="D234">
        <v>84059</v>
      </c>
      <c r="E234">
        <v>92.245900000000006</v>
      </c>
      <c r="F234">
        <v>51.586399999999998</v>
      </c>
      <c r="G234">
        <v>74.19</v>
      </c>
      <c r="H234">
        <v>25.81</v>
      </c>
      <c r="I234">
        <v>105</v>
      </c>
      <c r="J234">
        <v>100</v>
      </c>
      <c r="K234">
        <v>100</v>
      </c>
      <c r="L234">
        <v>100</v>
      </c>
      <c r="M234">
        <v>443796.27495200001</v>
      </c>
      <c r="N234">
        <v>75737.200760000007</v>
      </c>
      <c r="O234">
        <v>366981.65466200002</v>
      </c>
      <c r="P234">
        <v>1077.4195299999999</v>
      </c>
      <c r="Q234">
        <v>265.36165699999998</v>
      </c>
      <c r="R234">
        <v>4000</v>
      </c>
      <c r="S234">
        <v>10</v>
      </c>
      <c r="T234">
        <v>0.99</v>
      </c>
      <c r="U234">
        <v>0.55922702255601597</v>
      </c>
    </row>
    <row r="235" spans="1:21" x14ac:dyDescent="0.2">
      <c r="A235" s="16" t="s">
        <v>10</v>
      </c>
      <c r="B235">
        <v>4</v>
      </c>
      <c r="C235">
        <v>281.523853766</v>
      </c>
      <c r="D235">
        <v>84059</v>
      </c>
      <c r="E235">
        <v>92.245900000000006</v>
      </c>
      <c r="F235">
        <v>51.823099999999997</v>
      </c>
      <c r="G235">
        <v>74.248199999999997</v>
      </c>
      <c r="H235">
        <v>25.751799999999999</v>
      </c>
      <c r="I235">
        <v>105</v>
      </c>
      <c r="J235">
        <v>100</v>
      </c>
      <c r="K235">
        <v>100</v>
      </c>
      <c r="L235">
        <v>100</v>
      </c>
      <c r="M235">
        <v>443671.072384</v>
      </c>
      <c r="N235">
        <v>75737.200760000007</v>
      </c>
      <c r="O235">
        <v>366856.75017399999</v>
      </c>
      <c r="P235">
        <v>1077.1214500000001</v>
      </c>
      <c r="Q235">
        <v>265.24123600000001</v>
      </c>
      <c r="R235">
        <v>4000</v>
      </c>
      <c r="S235">
        <v>10</v>
      </c>
      <c r="T235">
        <v>0.99</v>
      </c>
      <c r="U235">
        <v>0.56179299025756146</v>
      </c>
    </row>
    <row r="236" spans="1:21" x14ac:dyDescent="0.2">
      <c r="A236" s="16" t="s">
        <v>10</v>
      </c>
      <c r="B236">
        <v>4</v>
      </c>
      <c r="C236">
        <v>284.08442657400002</v>
      </c>
      <c r="D236">
        <v>84059</v>
      </c>
      <c r="E236">
        <v>92.245900000000006</v>
      </c>
      <c r="F236">
        <v>51.892099999999999</v>
      </c>
      <c r="G236">
        <v>74.296199999999999</v>
      </c>
      <c r="H236">
        <v>25.703800000000001</v>
      </c>
      <c r="I236">
        <v>105</v>
      </c>
      <c r="J236">
        <v>100</v>
      </c>
      <c r="K236">
        <v>100</v>
      </c>
      <c r="L236">
        <v>100</v>
      </c>
      <c r="M236">
        <v>443176.71244500001</v>
      </c>
      <c r="N236">
        <v>75737.200760000007</v>
      </c>
      <c r="O236">
        <v>366362.81022500002</v>
      </c>
      <c r="P236">
        <v>1076.70146</v>
      </c>
      <c r="Q236">
        <v>264.97785599999997</v>
      </c>
      <c r="R236">
        <v>4000</v>
      </c>
      <c r="S236">
        <v>10</v>
      </c>
      <c r="T236">
        <v>0.99</v>
      </c>
      <c r="U236">
        <v>0.56254099098171295</v>
      </c>
    </row>
    <row r="237" spans="1:21" x14ac:dyDescent="0.2">
      <c r="A237" s="16" t="s">
        <v>10</v>
      </c>
      <c r="B237">
        <v>4</v>
      </c>
      <c r="C237">
        <v>283.12232933400003</v>
      </c>
      <c r="D237">
        <v>84059</v>
      </c>
      <c r="E237">
        <v>92.245900000000006</v>
      </c>
      <c r="F237">
        <v>51.912300000000002</v>
      </c>
      <c r="G237">
        <v>74.450599999999994</v>
      </c>
      <c r="H237">
        <v>25.549399999999999</v>
      </c>
      <c r="I237">
        <v>105</v>
      </c>
      <c r="J237">
        <v>100</v>
      </c>
      <c r="K237">
        <v>100</v>
      </c>
      <c r="L237">
        <v>100</v>
      </c>
      <c r="M237">
        <v>442386.66392399999</v>
      </c>
      <c r="N237">
        <v>75737.200760000007</v>
      </c>
      <c r="O237">
        <v>365572.41651399998</v>
      </c>
      <c r="P237">
        <v>1077.04665</v>
      </c>
      <c r="Q237">
        <v>264.58641499999999</v>
      </c>
      <c r="R237">
        <v>4000</v>
      </c>
      <c r="S237">
        <v>10</v>
      </c>
      <c r="T237">
        <v>0.99</v>
      </c>
      <c r="U237">
        <v>0.56275997090385588</v>
      </c>
    </row>
    <row r="238" spans="1:21" x14ac:dyDescent="0.2">
      <c r="A238" s="16" t="s">
        <v>10</v>
      </c>
      <c r="B238">
        <v>4</v>
      </c>
      <c r="C238">
        <v>279.66966657</v>
      </c>
      <c r="D238">
        <v>84059</v>
      </c>
      <c r="E238">
        <v>92.245900000000006</v>
      </c>
      <c r="F238">
        <v>51.763599999999997</v>
      </c>
      <c r="G238">
        <v>74.200199999999995</v>
      </c>
      <c r="H238">
        <v>25.799800000000001</v>
      </c>
      <c r="I238">
        <v>105</v>
      </c>
      <c r="J238">
        <v>100</v>
      </c>
      <c r="K238">
        <v>100</v>
      </c>
      <c r="L238">
        <v>100</v>
      </c>
      <c r="M238">
        <v>443516.585624</v>
      </c>
      <c r="N238">
        <v>75737.200760000007</v>
      </c>
      <c r="O238">
        <v>366701.66088400001</v>
      </c>
      <c r="P238">
        <v>1077.72398</v>
      </c>
      <c r="Q238">
        <v>265.41929099999999</v>
      </c>
      <c r="R238">
        <v>4000</v>
      </c>
      <c r="S238">
        <v>10</v>
      </c>
      <c r="T238">
        <v>0.99</v>
      </c>
      <c r="U238">
        <v>0.56114797514035852</v>
      </c>
    </row>
    <row r="239" spans="1:21" x14ac:dyDescent="0.2">
      <c r="A239" s="16" t="s">
        <v>10</v>
      </c>
      <c r="B239">
        <v>4</v>
      </c>
      <c r="C239">
        <v>281.435058615</v>
      </c>
      <c r="D239">
        <v>84059</v>
      </c>
      <c r="E239">
        <v>92.245900000000006</v>
      </c>
      <c r="F239">
        <v>51.856400000000001</v>
      </c>
      <c r="G239">
        <v>73.922899999999998</v>
      </c>
      <c r="H239">
        <v>26.077100000000002</v>
      </c>
      <c r="I239">
        <v>105</v>
      </c>
      <c r="J239">
        <v>100</v>
      </c>
      <c r="K239">
        <v>100</v>
      </c>
      <c r="L239">
        <v>100</v>
      </c>
      <c r="M239">
        <v>443382.545247</v>
      </c>
      <c r="N239">
        <v>75737.200760000007</v>
      </c>
      <c r="O239">
        <v>366568.58647699998</v>
      </c>
      <c r="P239">
        <v>1076.75801</v>
      </c>
      <c r="Q239">
        <v>266.08460600000001</v>
      </c>
      <c r="R239">
        <v>4000</v>
      </c>
      <c r="S239">
        <v>10</v>
      </c>
      <c r="T239">
        <v>0.99</v>
      </c>
      <c r="U239">
        <v>0.56215398191139121</v>
      </c>
    </row>
    <row r="240" spans="1:21" x14ac:dyDescent="0.2">
      <c r="A240" s="16" t="s">
        <v>10</v>
      </c>
      <c r="B240">
        <v>4</v>
      </c>
      <c r="C240">
        <v>281.80059570899999</v>
      </c>
      <c r="D240">
        <v>84059</v>
      </c>
      <c r="E240">
        <v>92.245900000000006</v>
      </c>
      <c r="F240">
        <v>51.904000000000003</v>
      </c>
      <c r="G240">
        <v>74.297499999999999</v>
      </c>
      <c r="H240">
        <v>25.702500000000001</v>
      </c>
      <c r="I240">
        <v>105</v>
      </c>
      <c r="J240">
        <v>100</v>
      </c>
      <c r="K240">
        <v>100</v>
      </c>
      <c r="L240">
        <v>100</v>
      </c>
      <c r="M240">
        <v>442725.916448</v>
      </c>
      <c r="N240">
        <v>75737.200760000007</v>
      </c>
      <c r="O240">
        <v>365911.52555800002</v>
      </c>
      <c r="P240">
        <v>1077.19013</v>
      </c>
      <c r="Q240">
        <v>265.21200800000003</v>
      </c>
      <c r="R240">
        <v>4000</v>
      </c>
      <c r="S240">
        <v>10</v>
      </c>
      <c r="T240">
        <v>0.99</v>
      </c>
      <c r="U240">
        <v>0.56266999400515361</v>
      </c>
    </row>
    <row r="241" spans="1:21" x14ac:dyDescent="0.2">
      <c r="A241" s="16" t="s">
        <v>10</v>
      </c>
      <c r="B241">
        <v>4</v>
      </c>
      <c r="C241">
        <v>280.52386290300001</v>
      </c>
      <c r="D241">
        <v>84059</v>
      </c>
      <c r="E241">
        <v>92.245900000000006</v>
      </c>
      <c r="F241">
        <v>51.8874</v>
      </c>
      <c r="G241">
        <v>74.110399999999998</v>
      </c>
      <c r="H241">
        <v>25.889600000000002</v>
      </c>
      <c r="I241">
        <v>105</v>
      </c>
      <c r="J241">
        <v>100</v>
      </c>
      <c r="K241">
        <v>100</v>
      </c>
      <c r="L241">
        <v>100</v>
      </c>
      <c r="M241">
        <v>442402.57704900001</v>
      </c>
      <c r="N241">
        <v>75737.200760000007</v>
      </c>
      <c r="O241">
        <v>365588.094079</v>
      </c>
      <c r="P241">
        <v>1077.2822100000001</v>
      </c>
      <c r="Q241">
        <v>265.53774499999997</v>
      </c>
      <c r="R241">
        <v>4000</v>
      </c>
      <c r="S241">
        <v>10</v>
      </c>
      <c r="T241">
        <v>0.99</v>
      </c>
      <c r="U241">
        <v>0.56249004020774906</v>
      </c>
    </row>
    <row r="242" spans="1:21" x14ac:dyDescent="0.2">
      <c r="A242" s="16" t="s">
        <v>10</v>
      </c>
      <c r="B242">
        <v>4</v>
      </c>
      <c r="C242">
        <v>282.99862009600002</v>
      </c>
      <c r="D242">
        <v>84059</v>
      </c>
      <c r="E242">
        <v>92.245900000000006</v>
      </c>
      <c r="F242">
        <v>51.8172</v>
      </c>
      <c r="G242">
        <v>74.268199999999993</v>
      </c>
      <c r="H242">
        <v>25.7318</v>
      </c>
      <c r="I242">
        <v>105</v>
      </c>
      <c r="J242">
        <v>100</v>
      </c>
      <c r="K242">
        <v>100</v>
      </c>
      <c r="L242">
        <v>100</v>
      </c>
      <c r="M242">
        <v>443376.05165500002</v>
      </c>
      <c r="N242">
        <v>75737.200760000007</v>
      </c>
      <c r="O242">
        <v>366562.380565</v>
      </c>
      <c r="P242">
        <v>1076.4703300000001</v>
      </c>
      <c r="Q242">
        <v>265.03720700000002</v>
      </c>
      <c r="R242">
        <v>4000</v>
      </c>
      <c r="S242">
        <v>10</v>
      </c>
      <c r="T242">
        <v>0.99</v>
      </c>
      <c r="U242">
        <v>0.56172903077535152</v>
      </c>
    </row>
    <row r="243" spans="1:21" x14ac:dyDescent="0.2">
      <c r="A243" s="16" t="s">
        <v>10</v>
      </c>
      <c r="B243">
        <v>4</v>
      </c>
      <c r="C243">
        <v>280.89570548799998</v>
      </c>
      <c r="D243">
        <v>84059</v>
      </c>
      <c r="E243">
        <v>92.245900000000006</v>
      </c>
      <c r="F243">
        <v>51.831499999999998</v>
      </c>
      <c r="G243">
        <v>74.022800000000004</v>
      </c>
      <c r="H243">
        <v>25.9772</v>
      </c>
      <c r="I243">
        <v>105</v>
      </c>
      <c r="J243">
        <v>100</v>
      </c>
      <c r="K243">
        <v>100</v>
      </c>
      <c r="L243">
        <v>100</v>
      </c>
      <c r="M243">
        <v>442964.790606</v>
      </c>
      <c r="N243">
        <v>75737.200760000007</v>
      </c>
      <c r="O243">
        <v>366150.138676</v>
      </c>
      <c r="P243">
        <v>1077.45117</v>
      </c>
      <c r="Q243">
        <v>265.85407099999998</v>
      </c>
      <c r="R243">
        <v>4000</v>
      </c>
      <c r="S243">
        <v>10</v>
      </c>
      <c r="T243">
        <v>0.99</v>
      </c>
      <c r="U243">
        <v>0.56188405121528429</v>
      </c>
    </row>
    <row r="244" spans="1:21" x14ac:dyDescent="0.2">
      <c r="A244" s="16" t="s">
        <v>10</v>
      </c>
      <c r="B244">
        <v>4</v>
      </c>
      <c r="C244">
        <v>282.38390479700001</v>
      </c>
      <c r="D244">
        <v>84059</v>
      </c>
      <c r="E244">
        <v>92.245900000000006</v>
      </c>
      <c r="F244">
        <v>51.697000000000003</v>
      </c>
      <c r="G244">
        <v>74.305000000000007</v>
      </c>
      <c r="H244">
        <v>25.695</v>
      </c>
      <c r="I244">
        <v>105</v>
      </c>
      <c r="J244">
        <v>100</v>
      </c>
      <c r="K244">
        <v>100</v>
      </c>
      <c r="L244">
        <v>100</v>
      </c>
      <c r="M244">
        <v>444377.30874000001</v>
      </c>
      <c r="N244">
        <v>75737.200760000007</v>
      </c>
      <c r="O244">
        <v>367563.40549999999</v>
      </c>
      <c r="P244">
        <v>1076.7024799999999</v>
      </c>
      <c r="Q244">
        <v>264.963887</v>
      </c>
      <c r="R244">
        <v>4000</v>
      </c>
      <c r="S244">
        <v>10</v>
      </c>
      <c r="T244">
        <v>0.99</v>
      </c>
      <c r="U244">
        <v>0.56042599183269937</v>
      </c>
    </row>
    <row r="245" spans="1:21" x14ac:dyDescent="0.2">
      <c r="A245" s="16" t="s">
        <v>10</v>
      </c>
      <c r="B245">
        <v>4</v>
      </c>
      <c r="C245">
        <v>279.24035321999997</v>
      </c>
      <c r="D245">
        <v>84059</v>
      </c>
      <c r="E245">
        <v>92.245900000000006</v>
      </c>
      <c r="F245">
        <v>51.6447</v>
      </c>
      <c r="G245">
        <v>74.555400000000006</v>
      </c>
      <c r="H245">
        <v>25.444600000000001</v>
      </c>
      <c r="I245">
        <v>105</v>
      </c>
      <c r="J245">
        <v>100</v>
      </c>
      <c r="K245">
        <v>100</v>
      </c>
      <c r="L245">
        <v>100</v>
      </c>
      <c r="M245">
        <v>444337.05357599998</v>
      </c>
      <c r="N245">
        <v>75737.200760000007</v>
      </c>
      <c r="O245">
        <v>367522.18112600001</v>
      </c>
      <c r="P245">
        <v>1077.6716899999999</v>
      </c>
      <c r="Q245">
        <v>264.38492400000001</v>
      </c>
      <c r="R245">
        <v>4000</v>
      </c>
      <c r="S245">
        <v>10</v>
      </c>
      <c r="T245">
        <v>0.99</v>
      </c>
      <c r="U245">
        <v>0.55985902896497297</v>
      </c>
    </row>
    <row r="246" spans="1:21" x14ac:dyDescent="0.2">
      <c r="A246" s="16" t="s">
        <v>10</v>
      </c>
      <c r="B246">
        <v>4</v>
      </c>
      <c r="C246">
        <v>280.81142470700001</v>
      </c>
      <c r="D246">
        <v>84059</v>
      </c>
      <c r="E246">
        <v>92.245900000000006</v>
      </c>
      <c r="F246">
        <v>51.762500000000003</v>
      </c>
      <c r="G246">
        <v>74.309899999999999</v>
      </c>
      <c r="H246">
        <v>25.690100000000001</v>
      </c>
      <c r="I246">
        <v>105</v>
      </c>
      <c r="J246">
        <v>100</v>
      </c>
      <c r="K246">
        <v>100</v>
      </c>
      <c r="L246">
        <v>100</v>
      </c>
      <c r="M246">
        <v>443186.07896299998</v>
      </c>
      <c r="N246">
        <v>75737.200760000007</v>
      </c>
      <c r="O246">
        <v>366371.49003300001</v>
      </c>
      <c r="P246">
        <v>1077.3881699999999</v>
      </c>
      <c r="Q246">
        <v>265.01699000000002</v>
      </c>
      <c r="R246">
        <v>4000</v>
      </c>
      <c r="S246">
        <v>10</v>
      </c>
      <c r="T246">
        <v>0.99</v>
      </c>
      <c r="U246">
        <v>0.56113605049113291</v>
      </c>
    </row>
    <row r="247" spans="1:21" x14ac:dyDescent="0.2">
      <c r="A247" s="16" t="s">
        <v>11</v>
      </c>
      <c r="B247">
        <v>4</v>
      </c>
      <c r="C247">
        <v>1052.8414213850001</v>
      </c>
      <c r="D247">
        <v>84059</v>
      </c>
      <c r="E247">
        <v>92.245900000000006</v>
      </c>
      <c r="F247">
        <v>56.218800000000002</v>
      </c>
      <c r="G247">
        <v>71.09</v>
      </c>
      <c r="H247">
        <v>28.91</v>
      </c>
      <c r="I247">
        <v>105</v>
      </c>
      <c r="J247">
        <v>100</v>
      </c>
      <c r="K247">
        <v>100</v>
      </c>
      <c r="L247">
        <v>100</v>
      </c>
      <c r="M247">
        <v>443087.15867500001</v>
      </c>
      <c r="N247">
        <v>75737.200760000007</v>
      </c>
      <c r="O247">
        <v>366276.03761499998</v>
      </c>
      <c r="P247">
        <v>1073.9203</v>
      </c>
      <c r="Q247">
        <v>273.62306899999999</v>
      </c>
      <c r="R247">
        <v>4000</v>
      </c>
      <c r="S247">
        <v>10</v>
      </c>
      <c r="T247">
        <v>0.99</v>
      </c>
      <c r="U247">
        <v>0.60944497262208941</v>
      </c>
    </row>
    <row r="248" spans="1:21" x14ac:dyDescent="0.2">
      <c r="A248" s="16" t="s">
        <v>11</v>
      </c>
      <c r="B248">
        <v>4</v>
      </c>
      <c r="C248">
        <v>1048.6416720520001</v>
      </c>
      <c r="D248">
        <v>84059</v>
      </c>
      <c r="E248">
        <v>92.245900000000006</v>
      </c>
      <c r="F248">
        <v>56.066600000000001</v>
      </c>
      <c r="G248">
        <v>71.440100000000001</v>
      </c>
      <c r="H248">
        <v>28.559899999999999</v>
      </c>
      <c r="I248">
        <v>105</v>
      </c>
      <c r="J248">
        <v>100</v>
      </c>
      <c r="K248">
        <v>100</v>
      </c>
      <c r="L248">
        <v>100</v>
      </c>
      <c r="M248">
        <v>444406.02372300002</v>
      </c>
      <c r="N248">
        <v>75737.200760000007</v>
      </c>
      <c r="O248">
        <v>367595.28151300002</v>
      </c>
      <c r="P248">
        <v>1073.5414499999999</v>
      </c>
      <c r="Q248">
        <v>272.55588299999999</v>
      </c>
      <c r="R248">
        <v>4000</v>
      </c>
      <c r="S248">
        <v>10</v>
      </c>
      <c r="T248">
        <v>0.99</v>
      </c>
      <c r="U248">
        <v>0.60779503479287422</v>
      </c>
    </row>
    <row r="249" spans="1:21" x14ac:dyDescent="0.2">
      <c r="A249" s="16" t="s">
        <v>11</v>
      </c>
      <c r="B249">
        <v>4</v>
      </c>
      <c r="C249">
        <v>1050.1427623479999</v>
      </c>
      <c r="D249">
        <v>84059</v>
      </c>
      <c r="E249">
        <v>92.245900000000006</v>
      </c>
      <c r="F249">
        <v>56.241399999999999</v>
      </c>
      <c r="G249">
        <v>71.156599999999997</v>
      </c>
      <c r="H249">
        <v>28.843399999999999</v>
      </c>
      <c r="I249">
        <v>105</v>
      </c>
      <c r="J249">
        <v>100</v>
      </c>
      <c r="K249">
        <v>100</v>
      </c>
      <c r="L249">
        <v>100</v>
      </c>
      <c r="M249">
        <v>443295.22904200002</v>
      </c>
      <c r="N249">
        <v>75737.200760000007</v>
      </c>
      <c r="O249">
        <v>366485.04016199999</v>
      </c>
      <c r="P249">
        <v>1072.98812</v>
      </c>
      <c r="Q249">
        <v>273.38404400000002</v>
      </c>
      <c r="R249">
        <v>4000</v>
      </c>
      <c r="S249">
        <v>10</v>
      </c>
      <c r="T249">
        <v>0.99</v>
      </c>
      <c r="U249">
        <v>0.60968996996072444</v>
      </c>
    </row>
    <row r="250" spans="1:21" x14ac:dyDescent="0.2">
      <c r="A250" s="16" t="s">
        <v>11</v>
      </c>
      <c r="B250">
        <v>4</v>
      </c>
      <c r="C250">
        <v>1055.153655457</v>
      </c>
      <c r="D250">
        <v>84059</v>
      </c>
      <c r="E250">
        <v>92.245900000000006</v>
      </c>
      <c r="F250">
        <v>56.165300000000002</v>
      </c>
      <c r="G250">
        <v>71.202200000000005</v>
      </c>
      <c r="H250">
        <v>28.797799999999999</v>
      </c>
      <c r="I250">
        <v>105</v>
      </c>
      <c r="J250">
        <v>100</v>
      </c>
      <c r="K250">
        <v>100</v>
      </c>
      <c r="L250">
        <v>100</v>
      </c>
      <c r="M250">
        <v>444105.67401100002</v>
      </c>
      <c r="N250">
        <v>75737.200760000007</v>
      </c>
      <c r="O250">
        <v>367294.893041</v>
      </c>
      <c r="P250">
        <v>1073.5802100000001</v>
      </c>
      <c r="Q250">
        <v>273.27437400000002</v>
      </c>
      <c r="R250">
        <v>4000</v>
      </c>
      <c r="S250">
        <v>10</v>
      </c>
      <c r="T250">
        <v>0.99</v>
      </c>
      <c r="U250">
        <v>0.60886500104611696</v>
      </c>
    </row>
    <row r="251" spans="1:21" x14ac:dyDescent="0.2">
      <c r="A251" s="16" t="s">
        <v>11</v>
      </c>
      <c r="B251">
        <v>4</v>
      </c>
      <c r="C251">
        <v>1042.703455825</v>
      </c>
      <c r="D251">
        <v>84059</v>
      </c>
      <c r="E251">
        <v>92.245900000000006</v>
      </c>
      <c r="F251">
        <v>56.122500000000002</v>
      </c>
      <c r="G251">
        <v>71.051000000000002</v>
      </c>
      <c r="H251">
        <v>28.949000000000002</v>
      </c>
      <c r="I251">
        <v>105</v>
      </c>
      <c r="J251">
        <v>100</v>
      </c>
      <c r="K251">
        <v>100</v>
      </c>
      <c r="L251">
        <v>100</v>
      </c>
      <c r="M251">
        <v>444720.54029199999</v>
      </c>
      <c r="N251">
        <v>75737.200760000007</v>
      </c>
      <c r="O251">
        <v>367908.92971200001</v>
      </c>
      <c r="P251">
        <v>1074.4098200000001</v>
      </c>
      <c r="Q251">
        <v>273.71713099999999</v>
      </c>
      <c r="R251">
        <v>4000</v>
      </c>
      <c r="S251">
        <v>10</v>
      </c>
      <c r="T251">
        <v>0.99</v>
      </c>
      <c r="U251">
        <v>0.608401023785339</v>
      </c>
    </row>
    <row r="252" spans="1:21" x14ac:dyDescent="0.2">
      <c r="A252" s="16" t="s">
        <v>11</v>
      </c>
      <c r="B252">
        <v>4</v>
      </c>
      <c r="C252">
        <v>1047.3306863329999</v>
      </c>
      <c r="D252">
        <v>84059</v>
      </c>
      <c r="E252">
        <v>92.245900000000006</v>
      </c>
      <c r="F252">
        <v>56.046300000000002</v>
      </c>
      <c r="G252">
        <v>70.922499999999999</v>
      </c>
      <c r="H252">
        <v>29.077500000000001</v>
      </c>
      <c r="I252">
        <v>105</v>
      </c>
      <c r="J252">
        <v>100</v>
      </c>
      <c r="K252">
        <v>100</v>
      </c>
      <c r="L252">
        <v>100</v>
      </c>
      <c r="M252">
        <v>443799.85039899999</v>
      </c>
      <c r="N252">
        <v>75737.200760000007</v>
      </c>
      <c r="O252">
        <v>366989.06886900001</v>
      </c>
      <c r="P252">
        <v>1073.58077</v>
      </c>
      <c r="Q252">
        <v>274.17624699999999</v>
      </c>
      <c r="R252">
        <v>4000</v>
      </c>
      <c r="S252">
        <v>10</v>
      </c>
      <c r="T252">
        <v>0.99</v>
      </c>
      <c r="U252">
        <v>0.60757497081171086</v>
      </c>
    </row>
    <row r="253" spans="1:21" x14ac:dyDescent="0.2">
      <c r="A253" s="16" t="s">
        <v>11</v>
      </c>
      <c r="B253">
        <v>4</v>
      </c>
      <c r="C253">
        <v>1043.4899555710001</v>
      </c>
      <c r="D253">
        <v>84059</v>
      </c>
      <c r="E253">
        <v>92.245900000000006</v>
      </c>
      <c r="F253">
        <v>56.009500000000003</v>
      </c>
      <c r="G253">
        <v>71.062600000000003</v>
      </c>
      <c r="H253">
        <v>28.9374</v>
      </c>
      <c r="I253">
        <v>105</v>
      </c>
      <c r="J253">
        <v>100</v>
      </c>
      <c r="K253">
        <v>100</v>
      </c>
      <c r="L253">
        <v>100</v>
      </c>
      <c r="M253">
        <v>444021.07776299998</v>
      </c>
      <c r="N253">
        <v>75737.200760000007</v>
      </c>
      <c r="O253">
        <v>367209.76212299999</v>
      </c>
      <c r="P253">
        <v>1074.1148800000001</v>
      </c>
      <c r="Q253">
        <v>273.68624699999998</v>
      </c>
      <c r="R253">
        <v>4000</v>
      </c>
      <c r="S253">
        <v>10</v>
      </c>
      <c r="T253">
        <v>0.99</v>
      </c>
      <c r="U253">
        <v>0.60717603709216339</v>
      </c>
    </row>
    <row r="254" spans="1:21" x14ac:dyDescent="0.2">
      <c r="A254" s="16" t="s">
        <v>11</v>
      </c>
      <c r="B254">
        <v>4</v>
      </c>
      <c r="C254">
        <v>1051.5631245290001</v>
      </c>
      <c r="D254">
        <v>84059</v>
      </c>
      <c r="E254">
        <v>92.245900000000006</v>
      </c>
      <c r="F254">
        <v>56.2605</v>
      </c>
      <c r="G254">
        <v>71.299599999999998</v>
      </c>
      <c r="H254">
        <v>28.700399999999998</v>
      </c>
      <c r="I254">
        <v>105</v>
      </c>
      <c r="J254">
        <v>100</v>
      </c>
      <c r="K254">
        <v>100</v>
      </c>
      <c r="L254">
        <v>100</v>
      </c>
      <c r="M254">
        <v>443401.74163900001</v>
      </c>
      <c r="N254">
        <v>75737.200760000007</v>
      </c>
      <c r="O254">
        <v>366590.82063899998</v>
      </c>
      <c r="P254">
        <v>1073.7202400000001</v>
      </c>
      <c r="Q254">
        <v>272.94548700000001</v>
      </c>
      <c r="R254">
        <v>4000</v>
      </c>
      <c r="S254">
        <v>10</v>
      </c>
      <c r="T254">
        <v>0.99</v>
      </c>
      <c r="U254">
        <v>0.60989702523364175</v>
      </c>
    </row>
    <row r="255" spans="1:21" x14ac:dyDescent="0.2">
      <c r="A255" s="16" t="s">
        <v>11</v>
      </c>
      <c r="B255">
        <v>4</v>
      </c>
      <c r="C255">
        <v>1047.3889463569999</v>
      </c>
      <c r="D255">
        <v>84059</v>
      </c>
      <c r="E255">
        <v>92.245900000000006</v>
      </c>
      <c r="F255">
        <v>56.097499999999997</v>
      </c>
      <c r="G255">
        <v>70.673299999999998</v>
      </c>
      <c r="H255">
        <v>29.326699999999999</v>
      </c>
      <c r="I255">
        <v>105</v>
      </c>
      <c r="J255">
        <v>100</v>
      </c>
      <c r="K255">
        <v>100</v>
      </c>
      <c r="L255">
        <v>100</v>
      </c>
      <c r="M255">
        <v>443690.14024899999</v>
      </c>
      <c r="N255">
        <v>75737.200760000007</v>
      </c>
      <c r="O255">
        <v>366880.11135899997</v>
      </c>
      <c r="P255">
        <v>1072.8281300000001</v>
      </c>
      <c r="Q255">
        <v>274.696933</v>
      </c>
      <c r="R255">
        <v>4000</v>
      </c>
      <c r="S255">
        <v>10</v>
      </c>
      <c r="T255">
        <v>0.99</v>
      </c>
      <c r="U255">
        <v>0.60813000903021153</v>
      </c>
    </row>
    <row r="256" spans="1:21" x14ac:dyDescent="0.2">
      <c r="A256" s="16" t="s">
        <v>11</v>
      </c>
      <c r="B256">
        <v>4</v>
      </c>
      <c r="C256">
        <v>1047.114267658</v>
      </c>
      <c r="D256">
        <v>84059</v>
      </c>
      <c r="E256">
        <v>92.245900000000006</v>
      </c>
      <c r="F256">
        <v>56.106999999999999</v>
      </c>
      <c r="G256">
        <v>71.108699999999999</v>
      </c>
      <c r="H256">
        <v>28.891300000000001</v>
      </c>
      <c r="I256">
        <v>105</v>
      </c>
      <c r="J256">
        <v>100</v>
      </c>
      <c r="K256">
        <v>100</v>
      </c>
      <c r="L256">
        <v>100</v>
      </c>
      <c r="M256">
        <v>444011.01587100001</v>
      </c>
      <c r="N256">
        <v>75737.200760000007</v>
      </c>
      <c r="O256">
        <v>367200.80343099998</v>
      </c>
      <c r="P256">
        <v>1073.0116800000001</v>
      </c>
      <c r="Q256">
        <v>273.73267800000002</v>
      </c>
      <c r="R256">
        <v>4000</v>
      </c>
      <c r="S256">
        <v>10</v>
      </c>
      <c r="T256">
        <v>0.99</v>
      </c>
      <c r="U256">
        <v>0.60823299463715996</v>
      </c>
    </row>
    <row r="257" spans="1:21" x14ac:dyDescent="0.2">
      <c r="A257" s="16" t="s">
        <v>11</v>
      </c>
      <c r="B257">
        <v>4</v>
      </c>
      <c r="C257">
        <v>1042.6124076460001</v>
      </c>
      <c r="D257">
        <v>84059</v>
      </c>
      <c r="E257">
        <v>92.245900000000006</v>
      </c>
      <c r="F257">
        <v>55.9726</v>
      </c>
      <c r="G257">
        <v>71.066999999999993</v>
      </c>
      <c r="H257">
        <v>28.933</v>
      </c>
      <c r="I257">
        <v>105</v>
      </c>
      <c r="J257">
        <v>100</v>
      </c>
      <c r="K257">
        <v>100</v>
      </c>
      <c r="L257">
        <v>100</v>
      </c>
      <c r="M257">
        <v>444756.38289100002</v>
      </c>
      <c r="N257">
        <v>75737.200760000007</v>
      </c>
      <c r="O257">
        <v>367944.973841</v>
      </c>
      <c r="P257">
        <v>1074.20829</v>
      </c>
      <c r="Q257">
        <v>273.73947199999998</v>
      </c>
      <c r="R257">
        <v>4000</v>
      </c>
      <c r="S257">
        <v>10</v>
      </c>
      <c r="T257">
        <v>0.99</v>
      </c>
      <c r="U257">
        <v>0.60677601931359548</v>
      </c>
    </row>
    <row r="258" spans="1:21" x14ac:dyDescent="0.2">
      <c r="A258" s="16" t="s">
        <v>11</v>
      </c>
      <c r="B258">
        <v>4</v>
      </c>
      <c r="C258">
        <v>1046.064355511</v>
      </c>
      <c r="D258">
        <v>84059</v>
      </c>
      <c r="E258">
        <v>92.245900000000006</v>
      </c>
      <c r="F258">
        <v>56.166499999999999</v>
      </c>
      <c r="G258">
        <v>71.168999999999997</v>
      </c>
      <c r="H258">
        <v>28.831</v>
      </c>
      <c r="I258">
        <v>105</v>
      </c>
      <c r="J258">
        <v>100</v>
      </c>
      <c r="K258">
        <v>100</v>
      </c>
      <c r="L258">
        <v>100</v>
      </c>
      <c r="M258">
        <v>443328.86842700001</v>
      </c>
      <c r="N258">
        <v>75737.200760000007</v>
      </c>
      <c r="O258">
        <v>366517.77127700002</v>
      </c>
      <c r="P258">
        <v>1073.8963900000001</v>
      </c>
      <c r="Q258">
        <v>273.63767300000001</v>
      </c>
      <c r="R258">
        <v>4000</v>
      </c>
      <c r="S258">
        <v>10</v>
      </c>
      <c r="T258">
        <v>0.99</v>
      </c>
      <c r="U258">
        <v>0.60887800975436301</v>
      </c>
    </row>
    <row r="259" spans="1:21" x14ac:dyDescent="0.2">
      <c r="A259" s="16" t="s">
        <v>11</v>
      </c>
      <c r="B259">
        <v>4</v>
      </c>
      <c r="C259">
        <v>1049.847269656</v>
      </c>
      <c r="D259">
        <v>84059</v>
      </c>
      <c r="E259">
        <v>92.245900000000006</v>
      </c>
      <c r="F259">
        <v>56.082000000000001</v>
      </c>
      <c r="G259">
        <v>71.225200000000001</v>
      </c>
      <c r="H259">
        <v>28.774799999999999</v>
      </c>
      <c r="I259">
        <v>105</v>
      </c>
      <c r="J259">
        <v>100</v>
      </c>
      <c r="K259">
        <v>100</v>
      </c>
      <c r="L259">
        <v>100</v>
      </c>
      <c r="M259">
        <v>444073.768109</v>
      </c>
      <c r="N259">
        <v>75737.200760000007</v>
      </c>
      <c r="O259">
        <v>367263.34532899997</v>
      </c>
      <c r="P259">
        <v>1073.2220199999999</v>
      </c>
      <c r="Q259">
        <v>273.36080800000002</v>
      </c>
      <c r="R259">
        <v>4000</v>
      </c>
      <c r="S259">
        <v>10</v>
      </c>
      <c r="T259">
        <v>0.99</v>
      </c>
      <c r="U259">
        <v>0.60796197988203271</v>
      </c>
    </row>
    <row r="260" spans="1:21" x14ac:dyDescent="0.2">
      <c r="A260" s="16" t="s">
        <v>11</v>
      </c>
      <c r="B260">
        <v>4</v>
      </c>
      <c r="C260">
        <v>1047.0514319030001</v>
      </c>
      <c r="D260">
        <v>84059</v>
      </c>
      <c r="E260">
        <v>92.245900000000006</v>
      </c>
      <c r="F260">
        <v>56.214100000000002</v>
      </c>
      <c r="G260">
        <v>71.345699999999994</v>
      </c>
      <c r="H260">
        <v>28.654299999999999</v>
      </c>
      <c r="I260">
        <v>105</v>
      </c>
      <c r="J260">
        <v>100</v>
      </c>
      <c r="K260">
        <v>100</v>
      </c>
      <c r="L260">
        <v>100</v>
      </c>
      <c r="M260">
        <v>442957.867707</v>
      </c>
      <c r="N260">
        <v>75737.200760000007</v>
      </c>
      <c r="O260">
        <v>366146.57126699999</v>
      </c>
      <c r="P260">
        <v>1074.0956799999999</v>
      </c>
      <c r="Q260">
        <v>272.83266099999997</v>
      </c>
      <c r="R260">
        <v>4000</v>
      </c>
      <c r="S260">
        <v>10</v>
      </c>
      <c r="T260">
        <v>0.99</v>
      </c>
      <c r="U260">
        <v>0.60939402184812552</v>
      </c>
    </row>
    <row r="261" spans="1:21" x14ac:dyDescent="0.2">
      <c r="A261" s="16" t="s">
        <v>11</v>
      </c>
      <c r="B261">
        <v>4</v>
      </c>
      <c r="C261">
        <v>1054.952625742</v>
      </c>
      <c r="D261">
        <v>84059</v>
      </c>
      <c r="E261">
        <v>92.245900000000006</v>
      </c>
      <c r="F261">
        <v>56.374699999999997</v>
      </c>
      <c r="G261">
        <v>71.075000000000003</v>
      </c>
      <c r="H261">
        <v>28.925000000000001</v>
      </c>
      <c r="I261">
        <v>105</v>
      </c>
      <c r="J261">
        <v>100</v>
      </c>
      <c r="K261">
        <v>100</v>
      </c>
      <c r="L261">
        <v>100</v>
      </c>
      <c r="M261">
        <v>441558.23076000001</v>
      </c>
      <c r="N261">
        <v>75737.200760000007</v>
      </c>
      <c r="O261">
        <v>364746.93556000001</v>
      </c>
      <c r="P261">
        <v>1074.0944400000001</v>
      </c>
      <c r="Q261">
        <v>273.92725799999999</v>
      </c>
      <c r="R261">
        <v>4000</v>
      </c>
      <c r="S261">
        <v>10</v>
      </c>
      <c r="T261">
        <v>0.99</v>
      </c>
      <c r="U261">
        <v>0.61113502063506342</v>
      </c>
    </row>
    <row r="262" spans="1:21" x14ac:dyDescent="0.2">
      <c r="A262" s="16" t="s">
        <v>11</v>
      </c>
      <c r="B262">
        <v>4</v>
      </c>
      <c r="C262">
        <v>1044.7814008370001</v>
      </c>
      <c r="D262">
        <v>84059</v>
      </c>
      <c r="E262">
        <v>92.245900000000006</v>
      </c>
      <c r="F262">
        <v>56.22</v>
      </c>
      <c r="G262">
        <v>71.2239</v>
      </c>
      <c r="H262">
        <v>28.7761</v>
      </c>
      <c r="I262">
        <v>105</v>
      </c>
      <c r="J262">
        <v>100</v>
      </c>
      <c r="K262">
        <v>100</v>
      </c>
      <c r="L262">
        <v>100</v>
      </c>
      <c r="M262">
        <v>442710.57146900002</v>
      </c>
      <c r="N262">
        <v>75737.200760000007</v>
      </c>
      <c r="O262">
        <v>365898.77434900001</v>
      </c>
      <c r="P262">
        <v>1074.59636</v>
      </c>
      <c r="Q262">
        <v>273.39865900000001</v>
      </c>
      <c r="R262">
        <v>4000</v>
      </c>
      <c r="S262">
        <v>10</v>
      </c>
      <c r="T262">
        <v>0.99</v>
      </c>
      <c r="U262">
        <v>0.60945798133033546</v>
      </c>
    </row>
    <row r="263" spans="1:21" x14ac:dyDescent="0.2">
      <c r="A263" s="16" t="s">
        <v>11</v>
      </c>
      <c r="B263">
        <v>4</v>
      </c>
      <c r="C263">
        <v>1043.1361789990001</v>
      </c>
      <c r="D263">
        <v>84059</v>
      </c>
      <c r="E263">
        <v>92.245900000000006</v>
      </c>
      <c r="F263">
        <v>55.897599999999997</v>
      </c>
      <c r="G263">
        <v>71.2346</v>
      </c>
      <c r="H263">
        <v>28.7654</v>
      </c>
      <c r="I263">
        <v>105</v>
      </c>
      <c r="J263">
        <v>100</v>
      </c>
      <c r="K263">
        <v>100</v>
      </c>
      <c r="L263">
        <v>100</v>
      </c>
      <c r="M263">
        <v>445961.51116400003</v>
      </c>
      <c r="N263">
        <v>75737.200760000007</v>
      </c>
      <c r="O263">
        <v>369150.69888400001</v>
      </c>
      <c r="P263">
        <v>1073.6115199999999</v>
      </c>
      <c r="Q263">
        <v>273.10137200000003</v>
      </c>
      <c r="R263">
        <v>4000</v>
      </c>
      <c r="S263">
        <v>10</v>
      </c>
      <c r="T263">
        <v>0.99</v>
      </c>
      <c r="U263">
        <v>0.6059629750482135</v>
      </c>
    </row>
    <row r="264" spans="1:21" x14ac:dyDescent="0.2">
      <c r="A264" s="16" t="s">
        <v>11</v>
      </c>
      <c r="B264">
        <v>4</v>
      </c>
      <c r="C264">
        <v>1044.977379018</v>
      </c>
      <c r="D264">
        <v>84059</v>
      </c>
      <c r="E264">
        <v>92.245900000000006</v>
      </c>
      <c r="F264">
        <v>56.137999999999998</v>
      </c>
      <c r="G264">
        <v>71.031400000000005</v>
      </c>
      <c r="H264">
        <v>28.968599999999999</v>
      </c>
      <c r="I264">
        <v>105</v>
      </c>
      <c r="J264">
        <v>100</v>
      </c>
      <c r="K264">
        <v>100</v>
      </c>
      <c r="L264">
        <v>100</v>
      </c>
      <c r="M264">
        <v>444010.58674699999</v>
      </c>
      <c r="N264">
        <v>75737.200760000007</v>
      </c>
      <c r="O264">
        <v>367199.38028699998</v>
      </c>
      <c r="P264">
        <v>1074.0056999999999</v>
      </c>
      <c r="Q264">
        <v>273.754932</v>
      </c>
      <c r="R264">
        <v>4000</v>
      </c>
      <c r="S264">
        <v>10</v>
      </c>
      <c r="T264">
        <v>0.99</v>
      </c>
      <c r="U264">
        <v>0.60856905293351782</v>
      </c>
    </row>
    <row r="265" spans="1:21" x14ac:dyDescent="0.2">
      <c r="A265" s="16" t="s">
        <v>11</v>
      </c>
      <c r="B265">
        <v>4</v>
      </c>
      <c r="C265">
        <v>1050.2563840600001</v>
      </c>
      <c r="D265">
        <v>84059</v>
      </c>
      <c r="E265">
        <v>92.245900000000006</v>
      </c>
      <c r="F265">
        <v>56.310400000000001</v>
      </c>
      <c r="G265">
        <v>70.968000000000004</v>
      </c>
      <c r="H265">
        <v>29.032</v>
      </c>
      <c r="I265">
        <v>105</v>
      </c>
      <c r="J265">
        <v>100</v>
      </c>
      <c r="K265">
        <v>100</v>
      </c>
      <c r="L265">
        <v>100</v>
      </c>
      <c r="M265">
        <v>441515.661242</v>
      </c>
      <c r="N265">
        <v>75737.200760000007</v>
      </c>
      <c r="O265">
        <v>364705.10983199999</v>
      </c>
      <c r="P265">
        <v>1073.3506500000001</v>
      </c>
      <c r="Q265">
        <v>274.16407600000002</v>
      </c>
      <c r="R265">
        <v>4000</v>
      </c>
      <c r="S265">
        <v>10</v>
      </c>
      <c r="T265">
        <v>0.99</v>
      </c>
      <c r="U265">
        <v>0.61043797068487593</v>
      </c>
    </row>
    <row r="266" spans="1:21" x14ac:dyDescent="0.2">
      <c r="A266" s="16" t="s">
        <v>11</v>
      </c>
      <c r="B266">
        <v>4</v>
      </c>
      <c r="C266">
        <v>1049.2820894460001</v>
      </c>
      <c r="D266">
        <v>84059</v>
      </c>
      <c r="E266">
        <v>92.245900000000006</v>
      </c>
      <c r="F266">
        <v>56.054699999999997</v>
      </c>
      <c r="G266">
        <v>71.264200000000002</v>
      </c>
      <c r="H266">
        <v>28.735800000000001</v>
      </c>
      <c r="I266">
        <v>105</v>
      </c>
      <c r="J266">
        <v>100</v>
      </c>
      <c r="K266">
        <v>100</v>
      </c>
      <c r="L266">
        <v>100</v>
      </c>
      <c r="M266">
        <v>444005.89857399999</v>
      </c>
      <c r="N266">
        <v>75737.200760000007</v>
      </c>
      <c r="O266">
        <v>367194.24523399997</v>
      </c>
      <c r="P266">
        <v>1074.4525799999999</v>
      </c>
      <c r="Q266">
        <v>273.27806399999997</v>
      </c>
      <c r="R266">
        <v>4000</v>
      </c>
      <c r="S266">
        <v>10</v>
      </c>
      <c r="T266">
        <v>0.99</v>
      </c>
      <c r="U266">
        <v>0.60766603176943357</v>
      </c>
    </row>
    <row r="267" spans="1:21" x14ac:dyDescent="0.2">
      <c r="A267" s="16" t="s">
        <v>11</v>
      </c>
      <c r="B267">
        <v>4</v>
      </c>
      <c r="C267">
        <v>1049.1126198889999</v>
      </c>
      <c r="D267">
        <v>84059</v>
      </c>
      <c r="E267">
        <v>92.245900000000006</v>
      </c>
      <c r="F267">
        <v>56.067799999999998</v>
      </c>
      <c r="G267">
        <v>71.251900000000006</v>
      </c>
      <c r="H267">
        <v>28.748100000000001</v>
      </c>
      <c r="I267">
        <v>105</v>
      </c>
      <c r="J267">
        <v>100</v>
      </c>
      <c r="K267">
        <v>100</v>
      </c>
      <c r="L267">
        <v>100</v>
      </c>
      <c r="M267">
        <v>443909.635603</v>
      </c>
      <c r="N267">
        <v>75737.200760000007</v>
      </c>
      <c r="O267">
        <v>367098.67368299997</v>
      </c>
      <c r="P267">
        <v>1073.76116</v>
      </c>
      <c r="Q267">
        <v>273.028008</v>
      </c>
      <c r="R267">
        <v>4000</v>
      </c>
      <c r="S267">
        <v>10</v>
      </c>
      <c r="T267">
        <v>0.99</v>
      </c>
      <c r="U267">
        <v>0.60780804350112028</v>
      </c>
    </row>
    <row r="268" spans="1:21" x14ac:dyDescent="0.2">
      <c r="A268" s="16" t="s">
        <v>11</v>
      </c>
      <c r="B268">
        <v>4</v>
      </c>
      <c r="C268">
        <v>1044.360020305</v>
      </c>
      <c r="D268">
        <v>84059</v>
      </c>
      <c r="E268">
        <v>92.245900000000006</v>
      </c>
      <c r="F268">
        <v>56.109400000000001</v>
      </c>
      <c r="G268">
        <v>71.2393</v>
      </c>
      <c r="H268">
        <v>28.7607</v>
      </c>
      <c r="I268">
        <v>105</v>
      </c>
      <c r="J268">
        <v>100</v>
      </c>
      <c r="K268">
        <v>100</v>
      </c>
      <c r="L268">
        <v>100</v>
      </c>
      <c r="M268">
        <v>444469.26944800001</v>
      </c>
      <c r="N268">
        <v>75737.200760000007</v>
      </c>
      <c r="O268">
        <v>367658.13342799997</v>
      </c>
      <c r="P268">
        <v>1073.93526</v>
      </c>
      <c r="Q268">
        <v>273.34166399999998</v>
      </c>
      <c r="R268">
        <v>4000</v>
      </c>
      <c r="S268">
        <v>10</v>
      </c>
      <c r="T268">
        <v>0.99</v>
      </c>
      <c r="U268">
        <v>0.60825901205365218</v>
      </c>
    </row>
    <row r="269" spans="1:21" x14ac:dyDescent="0.2">
      <c r="A269" s="16" t="s">
        <v>11</v>
      </c>
      <c r="B269">
        <v>4</v>
      </c>
      <c r="C269">
        <v>1050.8714888330001</v>
      </c>
      <c r="D269">
        <v>84059</v>
      </c>
      <c r="E269">
        <v>92.245900000000006</v>
      </c>
      <c r="F269">
        <v>56.278300000000002</v>
      </c>
      <c r="G269">
        <v>71.014899999999997</v>
      </c>
      <c r="H269">
        <v>28.985099999999999</v>
      </c>
      <c r="I269">
        <v>105</v>
      </c>
      <c r="J269">
        <v>100</v>
      </c>
      <c r="K269">
        <v>100</v>
      </c>
      <c r="L269">
        <v>100</v>
      </c>
      <c r="M269">
        <v>442965.12212299998</v>
      </c>
      <c r="N269">
        <v>75737.200760000007</v>
      </c>
      <c r="O269">
        <v>366153.12615299999</v>
      </c>
      <c r="P269">
        <v>1074.79521</v>
      </c>
      <c r="Q269">
        <v>273.89841000000001</v>
      </c>
      <c r="R269">
        <v>4000</v>
      </c>
      <c r="S269">
        <v>10</v>
      </c>
      <c r="T269">
        <v>0.99</v>
      </c>
      <c r="U269">
        <v>0.61008998773929246</v>
      </c>
    </row>
    <row r="270" spans="1:21" x14ac:dyDescent="0.2">
      <c r="A270" s="16" t="s">
        <v>11</v>
      </c>
      <c r="B270">
        <v>4</v>
      </c>
      <c r="C270">
        <v>1048.6229350240001</v>
      </c>
      <c r="D270">
        <v>84059</v>
      </c>
      <c r="E270">
        <v>92.245900000000006</v>
      </c>
      <c r="F270">
        <v>56.105800000000002</v>
      </c>
      <c r="G270">
        <v>71.042400000000001</v>
      </c>
      <c r="H270">
        <v>28.957599999999999</v>
      </c>
      <c r="I270">
        <v>105</v>
      </c>
      <c r="J270">
        <v>100</v>
      </c>
      <c r="K270">
        <v>100</v>
      </c>
      <c r="L270">
        <v>100</v>
      </c>
      <c r="M270">
        <v>444042.49102199997</v>
      </c>
      <c r="N270">
        <v>75737.200760000007</v>
      </c>
      <c r="O270">
        <v>367232.311162</v>
      </c>
      <c r="P270">
        <v>1072.9791</v>
      </c>
      <c r="Q270">
        <v>273.862685</v>
      </c>
      <c r="R270">
        <v>4000</v>
      </c>
      <c r="S270">
        <v>10</v>
      </c>
      <c r="T270">
        <v>0.99</v>
      </c>
      <c r="U270">
        <v>0.60821998592891391</v>
      </c>
    </row>
    <row r="271" spans="1:21" x14ac:dyDescent="0.2">
      <c r="A271" s="16" t="s">
        <v>11</v>
      </c>
      <c r="B271">
        <v>4</v>
      </c>
      <c r="C271">
        <v>1041.288519381</v>
      </c>
      <c r="D271">
        <v>84059</v>
      </c>
      <c r="E271">
        <v>92.245900000000006</v>
      </c>
      <c r="F271">
        <v>55.895299999999999</v>
      </c>
      <c r="G271">
        <v>70.935400000000001</v>
      </c>
      <c r="H271">
        <v>29.064599999999999</v>
      </c>
      <c r="I271">
        <v>105</v>
      </c>
      <c r="J271">
        <v>100</v>
      </c>
      <c r="K271">
        <v>100</v>
      </c>
      <c r="L271">
        <v>100</v>
      </c>
      <c r="M271">
        <v>445668.84419099998</v>
      </c>
      <c r="N271">
        <v>75737.200760000007</v>
      </c>
      <c r="O271">
        <v>368857.653101</v>
      </c>
      <c r="P271">
        <v>1073.9903300000001</v>
      </c>
      <c r="Q271">
        <v>274.035864</v>
      </c>
      <c r="R271">
        <v>4000</v>
      </c>
      <c r="S271">
        <v>10</v>
      </c>
      <c r="T271">
        <v>0.99</v>
      </c>
      <c r="U271">
        <v>0.60593804169074172</v>
      </c>
    </row>
    <row r="272" spans="1:21" x14ac:dyDescent="0.2">
      <c r="A272" s="16" t="s">
        <v>11</v>
      </c>
      <c r="B272">
        <v>4</v>
      </c>
      <c r="C272">
        <v>1047.8510142109999</v>
      </c>
      <c r="D272">
        <v>84059</v>
      </c>
      <c r="E272">
        <v>92.245900000000006</v>
      </c>
      <c r="F272">
        <v>56.201000000000001</v>
      </c>
      <c r="G272">
        <v>71.116799999999998</v>
      </c>
      <c r="H272">
        <v>28.883199999999999</v>
      </c>
      <c r="I272">
        <v>105</v>
      </c>
      <c r="J272">
        <v>100</v>
      </c>
      <c r="K272">
        <v>100</v>
      </c>
      <c r="L272">
        <v>100</v>
      </c>
      <c r="M272">
        <v>443588.38491000002</v>
      </c>
      <c r="N272">
        <v>75737.200760000007</v>
      </c>
      <c r="O272">
        <v>366777.73342</v>
      </c>
      <c r="P272">
        <v>1073.45073</v>
      </c>
      <c r="Q272">
        <v>273.54476499999998</v>
      </c>
      <c r="R272">
        <v>4000</v>
      </c>
      <c r="S272">
        <v>10</v>
      </c>
      <c r="T272">
        <v>0.99</v>
      </c>
      <c r="U272">
        <v>0.6092520101164387</v>
      </c>
    </row>
    <row r="273" spans="1:21" x14ac:dyDescent="0.2">
      <c r="A273" s="16" t="s">
        <v>11</v>
      </c>
      <c r="B273">
        <v>4</v>
      </c>
      <c r="C273">
        <v>1048.4290035670001</v>
      </c>
      <c r="D273">
        <v>84059</v>
      </c>
      <c r="E273">
        <v>92.245900000000006</v>
      </c>
      <c r="F273">
        <v>56.209299999999999</v>
      </c>
      <c r="G273">
        <v>71.180300000000003</v>
      </c>
      <c r="H273">
        <v>28.819700000000001</v>
      </c>
      <c r="I273">
        <v>105</v>
      </c>
      <c r="J273">
        <v>100</v>
      </c>
      <c r="K273">
        <v>100</v>
      </c>
      <c r="L273">
        <v>100</v>
      </c>
      <c r="M273">
        <v>442768.92193999997</v>
      </c>
      <c r="N273">
        <v>75737.200760000007</v>
      </c>
      <c r="O273">
        <v>365957.61554000003</v>
      </c>
      <c r="P273">
        <v>1074.10564</v>
      </c>
      <c r="Q273">
        <v>273.63039700000002</v>
      </c>
      <c r="R273">
        <v>4000</v>
      </c>
      <c r="S273">
        <v>10</v>
      </c>
      <c r="T273">
        <v>0.99</v>
      </c>
      <c r="U273">
        <v>0.60934198701514097</v>
      </c>
    </row>
    <row r="274" spans="1:21" x14ac:dyDescent="0.2">
      <c r="A274" s="16" t="s">
        <v>11</v>
      </c>
      <c r="B274">
        <v>4</v>
      </c>
      <c r="C274">
        <v>1052.8773036800001</v>
      </c>
      <c r="D274">
        <v>84059</v>
      </c>
      <c r="E274">
        <v>92.245900000000006</v>
      </c>
      <c r="F274">
        <v>56.186700000000002</v>
      </c>
      <c r="G274">
        <v>71.314800000000005</v>
      </c>
      <c r="H274">
        <v>28.685199999999998</v>
      </c>
      <c r="I274">
        <v>105</v>
      </c>
      <c r="J274">
        <v>100</v>
      </c>
      <c r="K274">
        <v>100</v>
      </c>
      <c r="L274">
        <v>100</v>
      </c>
      <c r="M274">
        <v>443235.792204</v>
      </c>
      <c r="N274">
        <v>75737.200760000007</v>
      </c>
      <c r="O274">
        <v>366425.20724399999</v>
      </c>
      <c r="P274">
        <v>1073.3842</v>
      </c>
      <c r="Q274">
        <v>273.077831</v>
      </c>
      <c r="R274">
        <v>4000</v>
      </c>
      <c r="S274">
        <v>10</v>
      </c>
      <c r="T274">
        <v>0.99</v>
      </c>
      <c r="U274">
        <v>0.60909698967650594</v>
      </c>
    </row>
    <row r="275" spans="1:21" x14ac:dyDescent="0.2">
      <c r="A275" s="16" t="s">
        <v>11</v>
      </c>
      <c r="B275">
        <v>4</v>
      </c>
      <c r="C275">
        <v>1051.043494731</v>
      </c>
      <c r="D275">
        <v>84059</v>
      </c>
      <c r="E275">
        <v>92.245900000000006</v>
      </c>
      <c r="F275">
        <v>56.2224</v>
      </c>
      <c r="G275">
        <v>71.163799999999995</v>
      </c>
      <c r="H275">
        <v>28.836200000000002</v>
      </c>
      <c r="I275">
        <v>105</v>
      </c>
      <c r="J275">
        <v>100</v>
      </c>
      <c r="K275">
        <v>100</v>
      </c>
      <c r="L275">
        <v>100</v>
      </c>
      <c r="M275">
        <v>444628.97219399997</v>
      </c>
      <c r="N275">
        <v>75737.200760000007</v>
      </c>
      <c r="O275">
        <v>367817.65053400001</v>
      </c>
      <c r="P275">
        <v>1074.1208999999999</v>
      </c>
      <c r="Q275">
        <v>273.41102699999999</v>
      </c>
      <c r="R275">
        <v>4000</v>
      </c>
      <c r="S275">
        <v>10</v>
      </c>
      <c r="T275">
        <v>0.99</v>
      </c>
      <c r="U275">
        <v>0.60948399874682768</v>
      </c>
    </row>
    <row r="276" spans="1:21" x14ac:dyDescent="0.2">
      <c r="A276" s="16" t="s">
        <v>11</v>
      </c>
      <c r="B276">
        <v>4</v>
      </c>
      <c r="C276">
        <v>1047.7468552830001</v>
      </c>
      <c r="D276">
        <v>84059</v>
      </c>
      <c r="E276">
        <v>92.245900000000006</v>
      </c>
      <c r="F276">
        <v>56.2545</v>
      </c>
      <c r="G276">
        <v>71.116799999999998</v>
      </c>
      <c r="H276">
        <v>28.883199999999999</v>
      </c>
      <c r="I276">
        <v>105</v>
      </c>
      <c r="J276">
        <v>100</v>
      </c>
      <c r="K276">
        <v>100</v>
      </c>
      <c r="L276">
        <v>100</v>
      </c>
      <c r="M276">
        <v>442984.86412699998</v>
      </c>
      <c r="N276">
        <v>75737.200760000007</v>
      </c>
      <c r="O276">
        <v>366173.61252700002</v>
      </c>
      <c r="P276">
        <v>1074.0508400000001</v>
      </c>
      <c r="Q276">
        <v>273.434552</v>
      </c>
      <c r="R276">
        <v>4000</v>
      </c>
      <c r="S276">
        <v>10</v>
      </c>
      <c r="T276">
        <v>0.99</v>
      </c>
      <c r="U276">
        <v>0.60983198169241126</v>
      </c>
    </row>
    <row r="277" spans="1:21" x14ac:dyDescent="0.2">
      <c r="A277" s="16" t="s">
        <v>11</v>
      </c>
      <c r="B277">
        <v>4</v>
      </c>
      <c r="C277">
        <v>1041.4222225890001</v>
      </c>
      <c r="D277">
        <v>84059</v>
      </c>
      <c r="E277">
        <v>92.245900000000006</v>
      </c>
      <c r="F277">
        <v>56.154600000000002</v>
      </c>
      <c r="G277">
        <v>71.101399999999998</v>
      </c>
      <c r="H277">
        <v>28.898599999999998</v>
      </c>
      <c r="I277">
        <v>105</v>
      </c>
      <c r="J277">
        <v>100</v>
      </c>
      <c r="K277">
        <v>100</v>
      </c>
      <c r="L277">
        <v>100</v>
      </c>
      <c r="M277">
        <v>443756.22525100003</v>
      </c>
      <c r="N277">
        <v>75737.200760000007</v>
      </c>
      <c r="O277">
        <v>366944.80071099999</v>
      </c>
      <c r="P277">
        <v>1074.22378</v>
      </c>
      <c r="Q277">
        <v>273.47891399999997</v>
      </c>
      <c r="R277">
        <v>4000</v>
      </c>
      <c r="S277">
        <v>10</v>
      </c>
      <c r="T277">
        <v>0.99</v>
      </c>
      <c r="U277">
        <v>0.60874900673092247</v>
      </c>
    </row>
    <row r="278" spans="1:21" x14ac:dyDescent="0.2">
      <c r="A278" s="16" t="s">
        <v>11</v>
      </c>
      <c r="B278">
        <v>4</v>
      </c>
      <c r="C278">
        <v>1052.388654867</v>
      </c>
      <c r="D278">
        <v>84059</v>
      </c>
      <c r="E278">
        <v>92.245900000000006</v>
      </c>
      <c r="F278">
        <v>56.124899999999997</v>
      </c>
      <c r="G278">
        <v>71.340500000000006</v>
      </c>
      <c r="H278">
        <v>28.659500000000001</v>
      </c>
      <c r="I278">
        <v>105</v>
      </c>
      <c r="J278">
        <v>100</v>
      </c>
      <c r="K278">
        <v>100</v>
      </c>
      <c r="L278">
        <v>100</v>
      </c>
      <c r="M278">
        <v>444330.86700099998</v>
      </c>
      <c r="N278">
        <v>75737.200760000007</v>
      </c>
      <c r="O278">
        <v>367520.07384099998</v>
      </c>
      <c r="P278">
        <v>1073.5924</v>
      </c>
      <c r="Q278">
        <v>272.86390599999999</v>
      </c>
      <c r="R278">
        <v>4000</v>
      </c>
      <c r="S278">
        <v>10</v>
      </c>
      <c r="T278">
        <v>0.99</v>
      </c>
      <c r="U278">
        <v>0.60842704120183111</v>
      </c>
    </row>
    <row r="279" spans="1:21" x14ac:dyDescent="0.2">
      <c r="A279" s="16" t="s">
        <v>11</v>
      </c>
      <c r="B279">
        <v>4</v>
      </c>
      <c r="C279">
        <v>1055.853209113</v>
      </c>
      <c r="D279">
        <v>84059</v>
      </c>
      <c r="E279">
        <v>92.245900000000006</v>
      </c>
      <c r="F279">
        <v>56.120100000000001</v>
      </c>
      <c r="G279">
        <v>71.147199999999998</v>
      </c>
      <c r="H279">
        <v>28.852799999999998</v>
      </c>
      <c r="I279">
        <v>105</v>
      </c>
      <c r="J279">
        <v>100</v>
      </c>
      <c r="K279">
        <v>100</v>
      </c>
      <c r="L279">
        <v>100</v>
      </c>
      <c r="M279">
        <v>444410.31609199999</v>
      </c>
      <c r="N279">
        <v>75737.200760000007</v>
      </c>
      <c r="O279">
        <v>367599.57121199998</v>
      </c>
      <c r="P279">
        <v>1073.54412</v>
      </c>
      <c r="Q279">
        <v>273.37455499999999</v>
      </c>
      <c r="R279">
        <v>4000</v>
      </c>
      <c r="S279">
        <v>10</v>
      </c>
      <c r="T279">
        <v>0.99</v>
      </c>
      <c r="U279">
        <v>0.60837500636884667</v>
      </c>
    </row>
    <row r="280" spans="1:21" x14ac:dyDescent="0.2">
      <c r="A280" s="16" t="s">
        <v>11</v>
      </c>
      <c r="B280">
        <v>4</v>
      </c>
      <c r="C280">
        <v>1051.17032642</v>
      </c>
      <c r="D280">
        <v>84059</v>
      </c>
      <c r="E280">
        <v>92.245900000000006</v>
      </c>
      <c r="F280">
        <v>56.185499999999998</v>
      </c>
      <c r="G280">
        <v>71.31</v>
      </c>
      <c r="H280">
        <v>28.69</v>
      </c>
      <c r="I280">
        <v>105</v>
      </c>
      <c r="J280">
        <v>100</v>
      </c>
      <c r="K280">
        <v>100</v>
      </c>
      <c r="L280">
        <v>100</v>
      </c>
      <c r="M280">
        <v>442942.95854299999</v>
      </c>
      <c r="N280">
        <v>75737.200760000007</v>
      </c>
      <c r="O280">
        <v>366131.90340299997</v>
      </c>
      <c r="P280">
        <v>1073.85438</v>
      </c>
      <c r="Q280">
        <v>273.01252499999998</v>
      </c>
      <c r="R280">
        <v>4000</v>
      </c>
      <c r="S280">
        <v>10</v>
      </c>
      <c r="T280">
        <v>0.99</v>
      </c>
      <c r="U280">
        <v>0.60908398096825977</v>
      </c>
    </row>
    <row r="281" spans="1:21" x14ac:dyDescent="0.2">
      <c r="A281" s="16" t="s">
        <v>11</v>
      </c>
      <c r="B281">
        <v>4</v>
      </c>
      <c r="C281">
        <v>1047.0919191420001</v>
      </c>
      <c r="D281">
        <v>84059</v>
      </c>
      <c r="E281">
        <v>92.245900000000006</v>
      </c>
      <c r="F281">
        <v>55.882199999999997</v>
      </c>
      <c r="G281">
        <v>71.294799999999995</v>
      </c>
      <c r="H281">
        <v>28.705200000000001</v>
      </c>
      <c r="I281">
        <v>105</v>
      </c>
      <c r="J281">
        <v>100</v>
      </c>
      <c r="K281">
        <v>100</v>
      </c>
      <c r="L281">
        <v>100</v>
      </c>
      <c r="M281">
        <v>445665.20870999998</v>
      </c>
      <c r="N281">
        <v>75737.200760000007</v>
      </c>
      <c r="O281">
        <v>368854.71526999999</v>
      </c>
      <c r="P281">
        <v>1073.29268</v>
      </c>
      <c r="Q281">
        <v>272.91511300000002</v>
      </c>
      <c r="R281">
        <v>4000</v>
      </c>
      <c r="S281">
        <v>10</v>
      </c>
      <c r="T281">
        <v>0.99</v>
      </c>
      <c r="U281">
        <v>0.60579602995905502</v>
      </c>
    </row>
    <row r="282" spans="1:21" x14ac:dyDescent="0.2">
      <c r="A282" s="16" t="s">
        <v>10</v>
      </c>
      <c r="B282">
        <v>4</v>
      </c>
      <c r="C282">
        <v>438.87936708400002</v>
      </c>
      <c r="D282">
        <v>104717</v>
      </c>
      <c r="E282">
        <v>92.058599999999998</v>
      </c>
      <c r="F282">
        <v>52.131900000000002</v>
      </c>
      <c r="G282">
        <v>74.554400000000001</v>
      </c>
      <c r="H282">
        <v>25.445599999999999</v>
      </c>
      <c r="I282">
        <v>105</v>
      </c>
      <c r="J282">
        <v>100</v>
      </c>
      <c r="K282">
        <v>100</v>
      </c>
      <c r="L282">
        <v>100</v>
      </c>
      <c r="M282">
        <v>547569.67260799999</v>
      </c>
      <c r="N282">
        <v>95902.552188000001</v>
      </c>
      <c r="O282">
        <v>450319.80683000002</v>
      </c>
      <c r="P282">
        <v>1347.31359</v>
      </c>
      <c r="Q282">
        <v>264.20669299999997</v>
      </c>
      <c r="R282">
        <v>5000</v>
      </c>
      <c r="S282">
        <v>10</v>
      </c>
      <c r="T282">
        <v>0.99</v>
      </c>
      <c r="U282">
        <v>0.56629038460285086</v>
      </c>
    </row>
    <row r="283" spans="1:21" x14ac:dyDescent="0.2">
      <c r="A283" s="16" t="s">
        <v>10</v>
      </c>
      <c r="B283">
        <v>4</v>
      </c>
      <c r="C283">
        <v>440.04735751200002</v>
      </c>
      <c r="D283">
        <v>104717</v>
      </c>
      <c r="E283">
        <v>92.058599999999998</v>
      </c>
      <c r="F283">
        <v>52.077500000000001</v>
      </c>
      <c r="G283">
        <v>74.568200000000004</v>
      </c>
      <c r="H283">
        <v>25.431799999999999</v>
      </c>
      <c r="I283">
        <v>105</v>
      </c>
      <c r="J283">
        <v>100</v>
      </c>
      <c r="K283">
        <v>100</v>
      </c>
      <c r="L283">
        <v>100</v>
      </c>
      <c r="M283">
        <v>548220.68120500003</v>
      </c>
      <c r="N283">
        <v>95902.552188000001</v>
      </c>
      <c r="O283">
        <v>450970.609077</v>
      </c>
      <c r="P283">
        <v>1347.5199399999999</v>
      </c>
      <c r="Q283">
        <v>264.25804199999999</v>
      </c>
      <c r="R283">
        <v>5000</v>
      </c>
      <c r="S283">
        <v>10</v>
      </c>
      <c r="T283">
        <v>0.99</v>
      </c>
      <c r="U283">
        <v>0.56569945665043786</v>
      </c>
    </row>
    <row r="284" spans="1:21" x14ac:dyDescent="0.2">
      <c r="A284" s="16" t="s">
        <v>10</v>
      </c>
      <c r="B284">
        <v>4</v>
      </c>
      <c r="C284">
        <v>444.85710172500001</v>
      </c>
      <c r="D284">
        <v>104717</v>
      </c>
      <c r="E284">
        <v>92.058599999999998</v>
      </c>
      <c r="F284">
        <v>52.111899999999999</v>
      </c>
      <c r="G284">
        <v>74.597800000000007</v>
      </c>
      <c r="H284">
        <v>25.402200000000001</v>
      </c>
      <c r="I284">
        <v>105</v>
      </c>
      <c r="J284">
        <v>100</v>
      </c>
      <c r="K284">
        <v>100</v>
      </c>
      <c r="L284">
        <v>100</v>
      </c>
      <c r="M284">
        <v>548155.39038500004</v>
      </c>
      <c r="N284">
        <v>95902.552188000001</v>
      </c>
      <c r="O284">
        <v>450907.42784700001</v>
      </c>
      <c r="P284">
        <v>1345.4103500000001</v>
      </c>
      <c r="Q284">
        <v>264.03004800000002</v>
      </c>
      <c r="R284">
        <v>5000</v>
      </c>
      <c r="S284">
        <v>10</v>
      </c>
      <c r="T284">
        <v>0.99</v>
      </c>
      <c r="U284">
        <v>0.56607313167916962</v>
      </c>
    </row>
    <row r="285" spans="1:21" x14ac:dyDescent="0.2">
      <c r="A285" s="16" t="s">
        <v>10</v>
      </c>
      <c r="B285">
        <v>4</v>
      </c>
      <c r="C285">
        <v>448.53889853300001</v>
      </c>
      <c r="D285">
        <v>104717</v>
      </c>
      <c r="E285">
        <v>92.058599999999998</v>
      </c>
      <c r="F285">
        <v>52.188299999999998</v>
      </c>
      <c r="G285">
        <v>74.342200000000005</v>
      </c>
      <c r="H285">
        <v>25.657800000000002</v>
      </c>
      <c r="I285">
        <v>105</v>
      </c>
      <c r="J285">
        <v>100</v>
      </c>
      <c r="K285">
        <v>100</v>
      </c>
      <c r="L285">
        <v>100</v>
      </c>
      <c r="M285">
        <v>547711.33608299994</v>
      </c>
      <c r="N285">
        <v>95902.552188000001</v>
      </c>
      <c r="O285">
        <v>450462.51795499999</v>
      </c>
      <c r="P285">
        <v>1346.26594</v>
      </c>
      <c r="Q285">
        <v>264.95673099999999</v>
      </c>
      <c r="R285">
        <v>5000</v>
      </c>
      <c r="S285">
        <v>10</v>
      </c>
      <c r="T285">
        <v>0.99</v>
      </c>
      <c r="U285">
        <v>0.56690303784763185</v>
      </c>
    </row>
    <row r="286" spans="1:21" x14ac:dyDescent="0.2">
      <c r="A286" s="16" t="s">
        <v>10</v>
      </c>
      <c r="B286">
        <v>4</v>
      </c>
      <c r="C286">
        <v>441.96306013999998</v>
      </c>
      <c r="D286">
        <v>104717</v>
      </c>
      <c r="E286">
        <v>92.058599999999998</v>
      </c>
      <c r="F286">
        <v>52.152000000000001</v>
      </c>
      <c r="G286">
        <v>74.285899999999998</v>
      </c>
      <c r="H286">
        <v>25.714099999999998</v>
      </c>
      <c r="I286">
        <v>105</v>
      </c>
      <c r="J286">
        <v>100</v>
      </c>
      <c r="K286">
        <v>100</v>
      </c>
      <c r="L286">
        <v>100</v>
      </c>
      <c r="M286">
        <v>547783.82604700001</v>
      </c>
      <c r="N286">
        <v>95902.552188000001</v>
      </c>
      <c r="O286">
        <v>450534.70477900002</v>
      </c>
      <c r="P286">
        <v>1346.56908</v>
      </c>
      <c r="Q286">
        <v>264.80820899999998</v>
      </c>
      <c r="R286">
        <v>5000</v>
      </c>
      <c r="S286">
        <v>10</v>
      </c>
      <c r="T286">
        <v>0.99</v>
      </c>
      <c r="U286">
        <v>0.56650872379115047</v>
      </c>
    </row>
    <row r="287" spans="1:21" x14ac:dyDescent="0.2">
      <c r="A287" s="16" t="s">
        <v>10</v>
      </c>
      <c r="B287">
        <v>4</v>
      </c>
      <c r="C287">
        <v>443.78250352499998</v>
      </c>
      <c r="D287">
        <v>104717</v>
      </c>
      <c r="E287">
        <v>92.058599999999998</v>
      </c>
      <c r="F287">
        <v>52.0364</v>
      </c>
      <c r="G287">
        <v>74.127799999999993</v>
      </c>
      <c r="H287">
        <v>25.872199999999999</v>
      </c>
      <c r="I287">
        <v>105</v>
      </c>
      <c r="J287">
        <v>100</v>
      </c>
      <c r="K287">
        <v>100</v>
      </c>
      <c r="L287">
        <v>100</v>
      </c>
      <c r="M287">
        <v>548587.49732199998</v>
      </c>
      <c r="N287">
        <v>95902.552188000001</v>
      </c>
      <c r="O287">
        <v>451338.74118399998</v>
      </c>
      <c r="P287">
        <v>1346.2039500000001</v>
      </c>
      <c r="Q287">
        <v>265.33910900000001</v>
      </c>
      <c r="R287">
        <v>5000</v>
      </c>
      <c r="S287">
        <v>10</v>
      </c>
      <c r="T287">
        <v>0.99</v>
      </c>
      <c r="U287">
        <v>0.56525300189227301</v>
      </c>
    </row>
    <row r="288" spans="1:21" x14ac:dyDescent="0.2">
      <c r="A288" s="16" t="s">
        <v>10</v>
      </c>
      <c r="B288">
        <v>4</v>
      </c>
      <c r="C288">
        <v>441.15022278499998</v>
      </c>
      <c r="D288">
        <v>104717</v>
      </c>
      <c r="E288">
        <v>92.058599999999998</v>
      </c>
      <c r="F288">
        <v>52.180599999999998</v>
      </c>
      <c r="G288">
        <v>74.455500000000001</v>
      </c>
      <c r="H288">
        <v>25.544499999999999</v>
      </c>
      <c r="I288">
        <v>105</v>
      </c>
      <c r="J288">
        <v>100</v>
      </c>
      <c r="K288">
        <v>100</v>
      </c>
      <c r="L288">
        <v>100</v>
      </c>
      <c r="M288">
        <v>547100.11884300003</v>
      </c>
      <c r="N288">
        <v>95902.552188000001</v>
      </c>
      <c r="O288">
        <v>449851.14008500002</v>
      </c>
      <c r="P288">
        <v>1346.4265700000001</v>
      </c>
      <c r="Q288">
        <v>264.42212499999999</v>
      </c>
      <c r="R288">
        <v>5000</v>
      </c>
      <c r="S288">
        <v>10</v>
      </c>
      <c r="T288">
        <v>0.99</v>
      </c>
      <c r="U288">
        <v>0.56681939547201454</v>
      </c>
    </row>
    <row r="289" spans="1:21" x14ac:dyDescent="0.2">
      <c r="A289" s="16" t="s">
        <v>10</v>
      </c>
      <c r="B289">
        <v>4</v>
      </c>
      <c r="C289">
        <v>441.73225407299998</v>
      </c>
      <c r="D289">
        <v>104717</v>
      </c>
      <c r="E289">
        <v>92.058599999999998</v>
      </c>
      <c r="F289">
        <v>52.0364</v>
      </c>
      <c r="G289">
        <v>74.179199999999994</v>
      </c>
      <c r="H289">
        <v>25.820799999999998</v>
      </c>
      <c r="I289">
        <v>105</v>
      </c>
      <c r="J289">
        <v>100</v>
      </c>
      <c r="K289">
        <v>100</v>
      </c>
      <c r="L289">
        <v>100</v>
      </c>
      <c r="M289">
        <v>549101.00782000006</v>
      </c>
      <c r="N289">
        <v>95902.552188000001</v>
      </c>
      <c r="O289">
        <v>451853.01767199999</v>
      </c>
      <c r="P289">
        <v>1345.43796</v>
      </c>
      <c r="Q289">
        <v>265.047101</v>
      </c>
      <c r="R289">
        <v>5000</v>
      </c>
      <c r="S289">
        <v>10</v>
      </c>
      <c r="T289">
        <v>0.99</v>
      </c>
      <c r="U289">
        <v>0.56525300189227301</v>
      </c>
    </row>
    <row r="290" spans="1:21" x14ac:dyDescent="0.2">
      <c r="A290" s="16" t="s">
        <v>10</v>
      </c>
      <c r="B290">
        <v>4</v>
      </c>
      <c r="C290">
        <v>444.09084370699998</v>
      </c>
      <c r="D290">
        <v>104717</v>
      </c>
      <c r="E290">
        <v>92.058599999999998</v>
      </c>
      <c r="F290">
        <v>52.0794</v>
      </c>
      <c r="G290">
        <v>74.218900000000005</v>
      </c>
      <c r="H290">
        <v>25.781099999999999</v>
      </c>
      <c r="I290">
        <v>105</v>
      </c>
      <c r="J290">
        <v>100</v>
      </c>
      <c r="K290">
        <v>100</v>
      </c>
      <c r="L290">
        <v>100</v>
      </c>
      <c r="M290">
        <v>549277.71584700001</v>
      </c>
      <c r="N290">
        <v>95902.552188000001</v>
      </c>
      <c r="O290">
        <v>452028.33513899997</v>
      </c>
      <c r="P290">
        <v>1346.82852</v>
      </c>
      <c r="Q290">
        <v>264.88622199999998</v>
      </c>
      <c r="R290">
        <v>5000</v>
      </c>
      <c r="S290">
        <v>10</v>
      </c>
      <c r="T290">
        <v>0.99</v>
      </c>
      <c r="U290">
        <v>0.5657200956781876</v>
      </c>
    </row>
    <row r="291" spans="1:21" x14ac:dyDescent="0.2">
      <c r="A291" s="16" t="s">
        <v>10</v>
      </c>
      <c r="B291">
        <v>4</v>
      </c>
      <c r="C291">
        <v>445.24370155700001</v>
      </c>
      <c r="D291">
        <v>104717</v>
      </c>
      <c r="E291">
        <v>92.058599999999998</v>
      </c>
      <c r="F291">
        <v>52.192100000000003</v>
      </c>
      <c r="G291">
        <v>74.382499999999993</v>
      </c>
      <c r="H291">
        <v>25.6175</v>
      </c>
      <c r="I291">
        <v>105</v>
      </c>
      <c r="J291">
        <v>100</v>
      </c>
      <c r="K291">
        <v>100</v>
      </c>
      <c r="L291">
        <v>100</v>
      </c>
      <c r="M291">
        <v>547292.07794800005</v>
      </c>
      <c r="N291">
        <v>95902.552188000001</v>
      </c>
      <c r="O291">
        <v>450043.30206000002</v>
      </c>
      <c r="P291">
        <v>1346.2237</v>
      </c>
      <c r="Q291">
        <v>264.86618700000002</v>
      </c>
      <c r="R291">
        <v>5000</v>
      </c>
      <c r="S291">
        <v>10</v>
      </c>
      <c r="T291">
        <v>0.99</v>
      </c>
      <c r="U291">
        <v>0.56694431590313132</v>
      </c>
    </row>
    <row r="292" spans="1:21" x14ac:dyDescent="0.2">
      <c r="A292" s="16" t="s">
        <v>10</v>
      </c>
      <c r="B292">
        <v>4</v>
      </c>
      <c r="C292">
        <v>439.47222675900002</v>
      </c>
      <c r="D292">
        <v>104717</v>
      </c>
      <c r="E292">
        <v>92.058599999999998</v>
      </c>
      <c r="F292">
        <v>52.1997</v>
      </c>
      <c r="G292">
        <v>74.327699999999993</v>
      </c>
      <c r="H292">
        <v>25.6723</v>
      </c>
      <c r="I292">
        <v>105</v>
      </c>
      <c r="J292">
        <v>100</v>
      </c>
      <c r="K292">
        <v>100</v>
      </c>
      <c r="L292">
        <v>100</v>
      </c>
      <c r="M292">
        <v>547613.61640499998</v>
      </c>
      <c r="N292">
        <v>95902.552188000001</v>
      </c>
      <c r="O292">
        <v>450364.55563700001</v>
      </c>
      <c r="P292">
        <v>1346.5085799999999</v>
      </c>
      <c r="Q292">
        <v>264.78437300000002</v>
      </c>
      <c r="R292">
        <v>5000</v>
      </c>
      <c r="S292">
        <v>10</v>
      </c>
      <c r="T292">
        <v>0.99</v>
      </c>
      <c r="U292">
        <v>0.56702687201413016</v>
      </c>
    </row>
    <row r="293" spans="1:21" x14ac:dyDescent="0.2">
      <c r="A293" s="16" t="s">
        <v>10</v>
      </c>
      <c r="B293">
        <v>4</v>
      </c>
      <c r="C293">
        <v>442.73941161499999</v>
      </c>
      <c r="D293">
        <v>104717</v>
      </c>
      <c r="E293">
        <v>92.058599999999998</v>
      </c>
      <c r="F293">
        <v>52.139600000000002</v>
      </c>
      <c r="G293">
        <v>74.168000000000006</v>
      </c>
      <c r="H293">
        <v>25.832000000000001</v>
      </c>
      <c r="I293">
        <v>105</v>
      </c>
      <c r="J293">
        <v>100</v>
      </c>
      <c r="K293">
        <v>100</v>
      </c>
      <c r="L293">
        <v>100</v>
      </c>
      <c r="M293">
        <v>548823.12560599996</v>
      </c>
      <c r="N293">
        <v>95902.552188000001</v>
      </c>
      <c r="O293">
        <v>451575.01012799999</v>
      </c>
      <c r="P293">
        <v>1345.5632900000001</v>
      </c>
      <c r="Q293">
        <v>265.24135899999999</v>
      </c>
      <c r="R293">
        <v>5000</v>
      </c>
      <c r="S293">
        <v>10</v>
      </c>
      <c r="T293">
        <v>0.99</v>
      </c>
      <c r="U293">
        <v>0.56637402697846806</v>
      </c>
    </row>
    <row r="294" spans="1:21" x14ac:dyDescent="0.2">
      <c r="A294" s="16" t="s">
        <v>10</v>
      </c>
      <c r="B294">
        <v>4</v>
      </c>
      <c r="C294">
        <v>443.18051601500002</v>
      </c>
      <c r="D294">
        <v>104717</v>
      </c>
      <c r="E294">
        <v>92.058599999999998</v>
      </c>
      <c r="F294">
        <v>52.024999999999999</v>
      </c>
      <c r="G294">
        <v>74.582899999999995</v>
      </c>
      <c r="H294">
        <v>25.417100000000001</v>
      </c>
      <c r="I294">
        <v>105</v>
      </c>
      <c r="J294">
        <v>100</v>
      </c>
      <c r="K294">
        <v>100</v>
      </c>
      <c r="L294">
        <v>100</v>
      </c>
      <c r="M294">
        <v>549756.64692700002</v>
      </c>
      <c r="N294">
        <v>95902.552188000001</v>
      </c>
      <c r="O294">
        <v>452508.84675899998</v>
      </c>
      <c r="P294">
        <v>1345.2479800000001</v>
      </c>
      <c r="Q294">
        <v>263.71587199999999</v>
      </c>
      <c r="R294">
        <v>5000</v>
      </c>
      <c r="S294">
        <v>10</v>
      </c>
      <c r="T294">
        <v>0.99</v>
      </c>
      <c r="U294">
        <v>0.56512916772577471</v>
      </c>
    </row>
    <row r="295" spans="1:21" x14ac:dyDescent="0.2">
      <c r="A295" s="16" t="s">
        <v>10</v>
      </c>
      <c r="B295">
        <v>4</v>
      </c>
      <c r="C295">
        <v>446.70845591099999</v>
      </c>
      <c r="D295">
        <v>104717</v>
      </c>
      <c r="E295">
        <v>92.058599999999998</v>
      </c>
      <c r="F295">
        <v>52.262799999999999</v>
      </c>
      <c r="G295">
        <v>74.769800000000004</v>
      </c>
      <c r="H295">
        <v>25.2302</v>
      </c>
      <c r="I295">
        <v>105</v>
      </c>
      <c r="J295">
        <v>100</v>
      </c>
      <c r="K295">
        <v>100</v>
      </c>
      <c r="L295">
        <v>100</v>
      </c>
      <c r="M295">
        <v>546565.36900399998</v>
      </c>
      <c r="N295">
        <v>95902.552188000001</v>
      </c>
      <c r="O295">
        <v>449317.10092599998</v>
      </c>
      <c r="P295">
        <v>1345.7158899999999</v>
      </c>
      <c r="Q295">
        <v>263.61420199999998</v>
      </c>
      <c r="R295">
        <v>5000</v>
      </c>
      <c r="S295">
        <v>10</v>
      </c>
      <c r="T295">
        <v>0.99</v>
      </c>
      <c r="U295">
        <v>0.56771230498834435</v>
      </c>
    </row>
    <row r="296" spans="1:21" x14ac:dyDescent="0.2">
      <c r="A296" s="16" t="s">
        <v>10</v>
      </c>
      <c r="B296">
        <v>4</v>
      </c>
      <c r="C296">
        <v>442.52503645600001</v>
      </c>
      <c r="D296">
        <v>104717</v>
      </c>
      <c r="E296">
        <v>92.058599999999998</v>
      </c>
      <c r="F296">
        <v>52.041200000000003</v>
      </c>
      <c r="G296">
        <v>74.144900000000007</v>
      </c>
      <c r="H296">
        <v>25.8551</v>
      </c>
      <c r="I296">
        <v>105</v>
      </c>
      <c r="J296">
        <v>100</v>
      </c>
      <c r="K296">
        <v>100</v>
      </c>
      <c r="L296">
        <v>100</v>
      </c>
      <c r="M296">
        <v>548856.22092700005</v>
      </c>
      <c r="N296">
        <v>95902.552188000001</v>
      </c>
      <c r="O296">
        <v>451607.78098899999</v>
      </c>
      <c r="P296">
        <v>1345.8877500000001</v>
      </c>
      <c r="Q296">
        <v>265.21741100000003</v>
      </c>
      <c r="R296">
        <v>5000</v>
      </c>
      <c r="S296">
        <v>10</v>
      </c>
      <c r="T296">
        <v>0.99</v>
      </c>
      <c r="U296">
        <v>0.56530514259395648</v>
      </c>
    </row>
    <row r="297" spans="1:21" x14ac:dyDescent="0.2">
      <c r="A297" s="16" t="s">
        <v>10</v>
      </c>
      <c r="B297">
        <v>4</v>
      </c>
      <c r="C297">
        <v>444.16202400600002</v>
      </c>
      <c r="D297">
        <v>104717</v>
      </c>
      <c r="E297">
        <v>92.058599999999998</v>
      </c>
      <c r="F297">
        <v>52.315300000000001</v>
      </c>
      <c r="G297">
        <v>74.455600000000004</v>
      </c>
      <c r="H297">
        <v>25.5444</v>
      </c>
      <c r="I297">
        <v>105</v>
      </c>
      <c r="J297">
        <v>100</v>
      </c>
      <c r="K297">
        <v>100</v>
      </c>
      <c r="L297">
        <v>100</v>
      </c>
      <c r="M297">
        <v>546854.28250600002</v>
      </c>
      <c r="N297">
        <v>95902.552188000001</v>
      </c>
      <c r="O297">
        <v>449605.16781800002</v>
      </c>
      <c r="P297">
        <v>1346.5625</v>
      </c>
      <c r="Q297">
        <v>264.52431200000001</v>
      </c>
      <c r="R297">
        <v>5000</v>
      </c>
      <c r="S297">
        <v>10</v>
      </c>
      <c r="T297">
        <v>0.99</v>
      </c>
      <c r="U297">
        <v>0.56828259391300762</v>
      </c>
    </row>
    <row r="298" spans="1:21" x14ac:dyDescent="0.2">
      <c r="A298" s="16" t="s">
        <v>10</v>
      </c>
      <c r="B298">
        <v>4</v>
      </c>
      <c r="C298">
        <v>438.09443058699998</v>
      </c>
      <c r="D298">
        <v>104717</v>
      </c>
      <c r="E298">
        <v>92.058599999999998</v>
      </c>
      <c r="F298">
        <v>52.181600000000003</v>
      </c>
      <c r="G298">
        <v>74.221800000000002</v>
      </c>
      <c r="H298">
        <v>25.778199999999998</v>
      </c>
      <c r="I298">
        <v>105</v>
      </c>
      <c r="J298">
        <v>100</v>
      </c>
      <c r="K298">
        <v>100</v>
      </c>
      <c r="L298">
        <v>100</v>
      </c>
      <c r="M298">
        <v>547286.46664200001</v>
      </c>
      <c r="N298">
        <v>95902.552188000001</v>
      </c>
      <c r="O298">
        <v>450037.19059399999</v>
      </c>
      <c r="P298">
        <v>1346.7238600000001</v>
      </c>
      <c r="Q298">
        <v>265.13983100000002</v>
      </c>
      <c r="R298">
        <v>5000</v>
      </c>
      <c r="S298">
        <v>10</v>
      </c>
      <c r="T298">
        <v>0.99</v>
      </c>
      <c r="U298">
        <v>0.56683025811819865</v>
      </c>
    </row>
    <row r="299" spans="1:21" x14ac:dyDescent="0.2">
      <c r="A299" s="16" t="s">
        <v>10</v>
      </c>
      <c r="B299">
        <v>4</v>
      </c>
      <c r="C299">
        <v>441.64871065</v>
      </c>
      <c r="D299">
        <v>104717</v>
      </c>
      <c r="E299">
        <v>92.058599999999998</v>
      </c>
      <c r="F299">
        <v>52.118600000000001</v>
      </c>
      <c r="G299">
        <v>74.362799999999993</v>
      </c>
      <c r="H299">
        <v>25.6372</v>
      </c>
      <c r="I299">
        <v>105</v>
      </c>
      <c r="J299">
        <v>100</v>
      </c>
      <c r="K299">
        <v>100</v>
      </c>
      <c r="L299">
        <v>100</v>
      </c>
      <c r="M299">
        <v>547826.80420999997</v>
      </c>
      <c r="N299">
        <v>95902.552188000001</v>
      </c>
      <c r="O299">
        <v>450578.27194200002</v>
      </c>
      <c r="P299">
        <v>1345.98008</v>
      </c>
      <c r="Q299">
        <v>264.76172300000002</v>
      </c>
      <c r="R299">
        <v>5000</v>
      </c>
      <c r="S299">
        <v>10</v>
      </c>
      <c r="T299">
        <v>0.99</v>
      </c>
      <c r="U299">
        <v>0.56614591140860282</v>
      </c>
    </row>
    <row r="300" spans="1:21" x14ac:dyDescent="0.2">
      <c r="A300" s="16" t="s">
        <v>10</v>
      </c>
      <c r="B300">
        <v>4</v>
      </c>
      <c r="C300">
        <v>440.289566471</v>
      </c>
      <c r="D300">
        <v>104717</v>
      </c>
      <c r="E300">
        <v>92.058599999999998</v>
      </c>
      <c r="F300">
        <v>52.121400000000001</v>
      </c>
      <c r="G300">
        <v>74.593299999999999</v>
      </c>
      <c r="H300">
        <v>25.406700000000001</v>
      </c>
      <c r="I300">
        <v>105</v>
      </c>
      <c r="J300">
        <v>100</v>
      </c>
      <c r="K300">
        <v>100</v>
      </c>
      <c r="L300">
        <v>100</v>
      </c>
      <c r="M300">
        <v>548519.84230699996</v>
      </c>
      <c r="N300">
        <v>95902.552188000001</v>
      </c>
      <c r="O300">
        <v>451271.39025900001</v>
      </c>
      <c r="P300">
        <v>1345.89986</v>
      </c>
      <c r="Q300">
        <v>263.87201399999998</v>
      </c>
      <c r="R300">
        <v>5000</v>
      </c>
      <c r="S300">
        <v>10</v>
      </c>
      <c r="T300">
        <v>0.99</v>
      </c>
      <c r="U300">
        <v>0.56617632681791819</v>
      </c>
    </row>
    <row r="301" spans="1:21" x14ac:dyDescent="0.2">
      <c r="A301" s="16" t="s">
        <v>10</v>
      </c>
      <c r="B301">
        <v>4</v>
      </c>
      <c r="C301">
        <v>442.16892976700001</v>
      </c>
      <c r="D301">
        <v>104717</v>
      </c>
      <c r="E301">
        <v>92.058599999999998</v>
      </c>
      <c r="F301">
        <v>52.070799999999998</v>
      </c>
      <c r="G301">
        <v>74.5154</v>
      </c>
      <c r="H301">
        <v>25.4846</v>
      </c>
      <c r="I301">
        <v>105</v>
      </c>
      <c r="J301">
        <v>100</v>
      </c>
      <c r="K301">
        <v>100</v>
      </c>
      <c r="L301">
        <v>100</v>
      </c>
      <c r="M301">
        <v>548322.86088000005</v>
      </c>
      <c r="N301">
        <v>95902.552188000001</v>
      </c>
      <c r="O301">
        <v>451074.35371200001</v>
      </c>
      <c r="P301">
        <v>1345.95498</v>
      </c>
      <c r="Q301">
        <v>264.23001799999997</v>
      </c>
      <c r="R301">
        <v>5000</v>
      </c>
      <c r="S301">
        <v>10</v>
      </c>
      <c r="T301">
        <v>0.99</v>
      </c>
      <c r="U301">
        <v>0.56562667692100466</v>
      </c>
    </row>
    <row r="302" spans="1:21" x14ac:dyDescent="0.2">
      <c r="A302" s="16" t="s">
        <v>10</v>
      </c>
      <c r="B302">
        <v>4</v>
      </c>
      <c r="C302">
        <v>440.40536810100002</v>
      </c>
      <c r="D302">
        <v>104717</v>
      </c>
      <c r="E302">
        <v>92.058599999999998</v>
      </c>
      <c r="F302">
        <v>52.179699999999997</v>
      </c>
      <c r="G302">
        <v>74.385499999999993</v>
      </c>
      <c r="H302">
        <v>25.6145</v>
      </c>
      <c r="I302">
        <v>105</v>
      </c>
      <c r="J302">
        <v>100</v>
      </c>
      <c r="K302">
        <v>100</v>
      </c>
      <c r="L302">
        <v>100</v>
      </c>
      <c r="M302">
        <v>548007.81854899996</v>
      </c>
      <c r="N302">
        <v>95902.552188000001</v>
      </c>
      <c r="O302">
        <v>450758.96984099998</v>
      </c>
      <c r="P302">
        <v>1346.2965200000001</v>
      </c>
      <c r="Q302">
        <v>264.68721399999998</v>
      </c>
      <c r="R302">
        <v>5000</v>
      </c>
      <c r="S302">
        <v>10</v>
      </c>
      <c r="T302">
        <v>0.99</v>
      </c>
      <c r="U302">
        <v>0.56680961909044891</v>
      </c>
    </row>
    <row r="303" spans="1:21" x14ac:dyDescent="0.2">
      <c r="A303" s="16" t="s">
        <v>10</v>
      </c>
      <c r="B303">
        <v>4</v>
      </c>
      <c r="C303">
        <v>440.40014880199999</v>
      </c>
      <c r="D303">
        <v>104717</v>
      </c>
      <c r="E303">
        <v>92.058599999999998</v>
      </c>
      <c r="F303">
        <v>52.142400000000002</v>
      </c>
      <c r="G303">
        <v>74.475300000000004</v>
      </c>
      <c r="H303">
        <v>25.524699999999999</v>
      </c>
      <c r="I303">
        <v>105</v>
      </c>
      <c r="J303">
        <v>100</v>
      </c>
      <c r="K303">
        <v>100</v>
      </c>
      <c r="L303">
        <v>100</v>
      </c>
      <c r="M303">
        <v>547844.205999</v>
      </c>
      <c r="N303">
        <v>95902.552188000001</v>
      </c>
      <c r="O303">
        <v>450595.31583099999</v>
      </c>
      <c r="P303">
        <v>1346.33798</v>
      </c>
      <c r="Q303">
        <v>264.378941</v>
      </c>
      <c r="R303">
        <v>5000</v>
      </c>
      <c r="S303">
        <v>10</v>
      </c>
      <c r="T303">
        <v>0.99</v>
      </c>
      <c r="U303">
        <v>0.56640444238778342</v>
      </c>
    </row>
    <row r="304" spans="1:21" x14ac:dyDescent="0.2">
      <c r="A304" s="16" t="s">
        <v>10</v>
      </c>
      <c r="B304">
        <v>4</v>
      </c>
      <c r="C304">
        <v>443.512916383</v>
      </c>
      <c r="D304">
        <v>104717</v>
      </c>
      <c r="E304">
        <v>92.058599999999998</v>
      </c>
      <c r="F304">
        <v>52.301000000000002</v>
      </c>
      <c r="G304">
        <v>74.212999999999994</v>
      </c>
      <c r="H304">
        <v>25.786999999999999</v>
      </c>
      <c r="I304">
        <v>105</v>
      </c>
      <c r="J304">
        <v>100</v>
      </c>
      <c r="K304">
        <v>100</v>
      </c>
      <c r="L304">
        <v>100</v>
      </c>
      <c r="M304">
        <v>546771.88115899998</v>
      </c>
      <c r="N304">
        <v>95902.552188000001</v>
      </c>
      <c r="O304">
        <v>449522.61992099998</v>
      </c>
      <c r="P304">
        <v>1346.7090499999999</v>
      </c>
      <c r="Q304">
        <v>265.11421100000001</v>
      </c>
      <c r="R304">
        <v>5000</v>
      </c>
      <c r="S304">
        <v>10</v>
      </c>
      <c r="T304">
        <v>0.99</v>
      </c>
      <c r="U304">
        <v>0.56812725807257558</v>
      </c>
    </row>
    <row r="305" spans="1:21" x14ac:dyDescent="0.2">
      <c r="A305" s="16" t="s">
        <v>10</v>
      </c>
      <c r="B305">
        <v>4</v>
      </c>
      <c r="C305">
        <v>445.48787661300003</v>
      </c>
      <c r="D305">
        <v>104717</v>
      </c>
      <c r="E305">
        <v>92.058599999999998</v>
      </c>
      <c r="F305">
        <v>52.180599999999998</v>
      </c>
      <c r="G305">
        <v>74.404300000000006</v>
      </c>
      <c r="H305">
        <v>25.595700000000001</v>
      </c>
      <c r="I305">
        <v>105</v>
      </c>
      <c r="J305">
        <v>100</v>
      </c>
      <c r="K305">
        <v>100</v>
      </c>
      <c r="L305">
        <v>100</v>
      </c>
      <c r="M305">
        <v>547685.55590399995</v>
      </c>
      <c r="N305">
        <v>95902.552188000001</v>
      </c>
      <c r="O305">
        <v>450436.02465600002</v>
      </c>
      <c r="P305">
        <v>1346.9790599999999</v>
      </c>
      <c r="Q305">
        <v>264.75194399999998</v>
      </c>
      <c r="R305">
        <v>5000</v>
      </c>
      <c r="S305">
        <v>10</v>
      </c>
      <c r="T305">
        <v>0.99</v>
      </c>
      <c r="U305">
        <v>0.56681939547201454</v>
      </c>
    </row>
    <row r="306" spans="1:21" x14ac:dyDescent="0.2">
      <c r="A306" s="16" t="s">
        <v>10</v>
      </c>
      <c r="B306">
        <v>4</v>
      </c>
      <c r="C306">
        <v>444.32420332200002</v>
      </c>
      <c r="D306">
        <v>104717</v>
      </c>
      <c r="E306">
        <v>92.058599999999998</v>
      </c>
      <c r="F306">
        <v>52.204500000000003</v>
      </c>
      <c r="G306">
        <v>74.719700000000003</v>
      </c>
      <c r="H306">
        <v>25.2803</v>
      </c>
      <c r="I306">
        <v>105</v>
      </c>
      <c r="J306">
        <v>100</v>
      </c>
      <c r="K306">
        <v>100</v>
      </c>
      <c r="L306">
        <v>100</v>
      </c>
      <c r="M306">
        <v>547777.01157900004</v>
      </c>
      <c r="N306">
        <v>95902.552188000001</v>
      </c>
      <c r="O306">
        <v>450528.92590099998</v>
      </c>
      <c r="P306">
        <v>1345.53349</v>
      </c>
      <c r="Q306">
        <v>263.77810099999999</v>
      </c>
      <c r="R306">
        <v>5000</v>
      </c>
      <c r="S306">
        <v>10</v>
      </c>
      <c r="T306">
        <v>0.99</v>
      </c>
      <c r="U306">
        <v>0.56707901271581362</v>
      </c>
    </row>
    <row r="307" spans="1:21" x14ac:dyDescent="0.2">
      <c r="A307" s="16" t="s">
        <v>10</v>
      </c>
      <c r="B307">
        <v>4</v>
      </c>
      <c r="C307">
        <v>441.23826561999999</v>
      </c>
      <c r="D307">
        <v>104717</v>
      </c>
      <c r="E307">
        <v>92.058599999999998</v>
      </c>
      <c r="F307">
        <v>52.13</v>
      </c>
      <c r="G307">
        <v>74.491200000000006</v>
      </c>
      <c r="H307">
        <v>25.508800000000001</v>
      </c>
      <c r="I307">
        <v>105</v>
      </c>
      <c r="J307">
        <v>100</v>
      </c>
      <c r="K307">
        <v>100</v>
      </c>
      <c r="L307">
        <v>100</v>
      </c>
      <c r="M307">
        <v>548255.02786899998</v>
      </c>
      <c r="N307">
        <v>95902.552188000001</v>
      </c>
      <c r="O307">
        <v>451005.10739100003</v>
      </c>
      <c r="P307">
        <v>1347.3682899999999</v>
      </c>
      <c r="Q307">
        <v>264.43591700000002</v>
      </c>
      <c r="R307">
        <v>5000</v>
      </c>
      <c r="S307">
        <v>10</v>
      </c>
      <c r="T307">
        <v>0.99</v>
      </c>
      <c r="U307">
        <v>0.56626974557510112</v>
      </c>
    </row>
    <row r="308" spans="1:21" x14ac:dyDescent="0.2">
      <c r="A308" s="16" t="s">
        <v>10</v>
      </c>
      <c r="B308">
        <v>4</v>
      </c>
      <c r="C308">
        <v>441.85592699</v>
      </c>
      <c r="D308">
        <v>104717</v>
      </c>
      <c r="E308">
        <v>92.058599999999998</v>
      </c>
      <c r="F308">
        <v>52.186399999999999</v>
      </c>
      <c r="G308">
        <v>74.436400000000006</v>
      </c>
      <c r="H308">
        <v>25.563600000000001</v>
      </c>
      <c r="I308">
        <v>105</v>
      </c>
      <c r="J308">
        <v>100</v>
      </c>
      <c r="K308">
        <v>100</v>
      </c>
      <c r="L308">
        <v>100</v>
      </c>
      <c r="M308">
        <v>547500.83583400003</v>
      </c>
      <c r="N308">
        <v>95902.552188000001</v>
      </c>
      <c r="O308">
        <v>450251.58046600001</v>
      </c>
      <c r="P308">
        <v>1346.70318</v>
      </c>
      <c r="Q308">
        <v>264.48235799999998</v>
      </c>
      <c r="R308">
        <v>5000</v>
      </c>
      <c r="S308">
        <v>10</v>
      </c>
      <c r="T308">
        <v>0.99</v>
      </c>
      <c r="U308">
        <v>0.56688239881988212</v>
      </c>
    </row>
    <row r="309" spans="1:21" x14ac:dyDescent="0.2">
      <c r="A309" s="16" t="s">
        <v>10</v>
      </c>
      <c r="B309">
        <v>4</v>
      </c>
      <c r="C309">
        <v>440.50468753799998</v>
      </c>
      <c r="D309">
        <v>104717</v>
      </c>
      <c r="E309">
        <v>92.058599999999998</v>
      </c>
      <c r="F309">
        <v>52.177799999999998</v>
      </c>
      <c r="G309">
        <v>74.479799999999997</v>
      </c>
      <c r="H309">
        <v>25.520199999999999</v>
      </c>
      <c r="I309">
        <v>105</v>
      </c>
      <c r="J309">
        <v>100</v>
      </c>
      <c r="K309">
        <v>100</v>
      </c>
      <c r="L309">
        <v>100</v>
      </c>
      <c r="M309">
        <v>547105.15599400003</v>
      </c>
      <c r="N309">
        <v>95902.552188000001</v>
      </c>
      <c r="O309">
        <v>449856.439916</v>
      </c>
      <c r="P309">
        <v>1346.16389</v>
      </c>
      <c r="Q309">
        <v>264.35186800000002</v>
      </c>
      <c r="R309">
        <v>5000</v>
      </c>
      <c r="S309">
        <v>10</v>
      </c>
      <c r="T309">
        <v>0.99</v>
      </c>
      <c r="U309">
        <v>0.56678898006269918</v>
      </c>
    </row>
    <row r="310" spans="1:21" x14ac:dyDescent="0.2">
      <c r="A310" s="16" t="s">
        <v>10</v>
      </c>
      <c r="B310">
        <v>4</v>
      </c>
      <c r="C310">
        <v>446.05536051199999</v>
      </c>
      <c r="D310">
        <v>104717</v>
      </c>
      <c r="E310">
        <v>92.058599999999998</v>
      </c>
      <c r="F310">
        <v>52.219799999999999</v>
      </c>
      <c r="G310">
        <v>74.310100000000006</v>
      </c>
      <c r="H310">
        <v>25.689900000000002</v>
      </c>
      <c r="I310">
        <v>105</v>
      </c>
      <c r="J310">
        <v>100</v>
      </c>
      <c r="K310">
        <v>100</v>
      </c>
      <c r="L310">
        <v>100</v>
      </c>
      <c r="M310">
        <v>546686.56291600002</v>
      </c>
      <c r="N310">
        <v>95902.552188000001</v>
      </c>
      <c r="O310">
        <v>449437.62749799999</v>
      </c>
      <c r="P310">
        <v>1346.3832299999999</v>
      </c>
      <c r="Q310">
        <v>264.91833300000002</v>
      </c>
      <c r="R310">
        <v>5000</v>
      </c>
      <c r="S310">
        <v>10</v>
      </c>
      <c r="T310">
        <v>0.99</v>
      </c>
      <c r="U310">
        <v>0.56724521120242977</v>
      </c>
    </row>
    <row r="311" spans="1:21" x14ac:dyDescent="0.2">
      <c r="A311" s="16" t="s">
        <v>10</v>
      </c>
      <c r="B311">
        <v>4</v>
      </c>
      <c r="C311">
        <v>444.196982773</v>
      </c>
      <c r="D311">
        <v>104717</v>
      </c>
      <c r="E311">
        <v>92.058599999999998</v>
      </c>
      <c r="F311">
        <v>52.174900000000001</v>
      </c>
      <c r="G311">
        <v>74.443600000000004</v>
      </c>
      <c r="H311">
        <v>25.5564</v>
      </c>
      <c r="I311">
        <v>105</v>
      </c>
      <c r="J311">
        <v>100</v>
      </c>
      <c r="K311">
        <v>100</v>
      </c>
      <c r="L311">
        <v>100</v>
      </c>
      <c r="M311">
        <v>547451.07879599999</v>
      </c>
      <c r="N311">
        <v>95902.552188000001</v>
      </c>
      <c r="O311">
        <v>450201.53045800002</v>
      </c>
      <c r="P311">
        <v>1346.9961499999999</v>
      </c>
      <c r="Q311">
        <v>264.34322400000002</v>
      </c>
      <c r="R311">
        <v>5000</v>
      </c>
      <c r="S311">
        <v>10</v>
      </c>
      <c r="T311">
        <v>0.99</v>
      </c>
      <c r="U311">
        <v>0.56675747838876545</v>
      </c>
    </row>
    <row r="312" spans="1:21" x14ac:dyDescent="0.2">
      <c r="A312" s="16" t="s">
        <v>10</v>
      </c>
      <c r="B312">
        <v>4</v>
      </c>
      <c r="C312">
        <v>441.94471465999999</v>
      </c>
      <c r="D312">
        <v>104717</v>
      </c>
      <c r="E312">
        <v>92.058599999999998</v>
      </c>
      <c r="F312">
        <v>52.113799999999998</v>
      </c>
      <c r="G312">
        <v>74.527199999999993</v>
      </c>
      <c r="H312">
        <v>25.472799999999999</v>
      </c>
      <c r="I312">
        <v>105</v>
      </c>
      <c r="J312">
        <v>100</v>
      </c>
      <c r="K312">
        <v>100</v>
      </c>
      <c r="L312">
        <v>100</v>
      </c>
      <c r="M312">
        <v>547689.02538699994</v>
      </c>
      <c r="N312">
        <v>95902.552188000001</v>
      </c>
      <c r="O312">
        <v>450440.10358900001</v>
      </c>
      <c r="P312">
        <v>1346.36961</v>
      </c>
      <c r="Q312">
        <v>264.42186500000003</v>
      </c>
      <c r="R312">
        <v>5000</v>
      </c>
      <c r="S312">
        <v>10</v>
      </c>
      <c r="T312">
        <v>0.99</v>
      </c>
      <c r="U312">
        <v>0.56609377070691924</v>
      </c>
    </row>
    <row r="313" spans="1:21" x14ac:dyDescent="0.2">
      <c r="A313" s="16" t="s">
        <v>10</v>
      </c>
      <c r="B313">
        <v>4</v>
      </c>
      <c r="C313">
        <v>443.53747942000001</v>
      </c>
      <c r="D313">
        <v>104717</v>
      </c>
      <c r="E313">
        <v>92.058599999999998</v>
      </c>
      <c r="F313">
        <v>52.195</v>
      </c>
      <c r="G313">
        <v>74.444299999999998</v>
      </c>
      <c r="H313">
        <v>25.555700000000002</v>
      </c>
      <c r="I313">
        <v>105</v>
      </c>
      <c r="J313">
        <v>100</v>
      </c>
      <c r="K313">
        <v>100</v>
      </c>
      <c r="L313">
        <v>100</v>
      </c>
      <c r="M313">
        <v>547921.92333200003</v>
      </c>
      <c r="N313">
        <v>95902.552188000001</v>
      </c>
      <c r="O313">
        <v>450673.36138399999</v>
      </c>
      <c r="P313">
        <v>1346.0097599999999</v>
      </c>
      <c r="Q313">
        <v>264.55700000000002</v>
      </c>
      <c r="R313">
        <v>5000</v>
      </c>
      <c r="S313">
        <v>10</v>
      </c>
      <c r="T313">
        <v>0.99</v>
      </c>
      <c r="U313">
        <v>0.56697581757706506</v>
      </c>
    </row>
    <row r="314" spans="1:21" x14ac:dyDescent="0.2">
      <c r="A314" s="16" t="s">
        <v>10</v>
      </c>
      <c r="B314">
        <v>4</v>
      </c>
      <c r="C314">
        <v>443.35327918299998</v>
      </c>
      <c r="D314">
        <v>104717</v>
      </c>
      <c r="E314">
        <v>92.058599999999998</v>
      </c>
      <c r="F314">
        <v>52.147199999999998</v>
      </c>
      <c r="G314">
        <v>74.622299999999996</v>
      </c>
      <c r="H314">
        <v>25.377700000000001</v>
      </c>
      <c r="I314">
        <v>105</v>
      </c>
      <c r="J314">
        <v>100</v>
      </c>
      <c r="K314">
        <v>100</v>
      </c>
      <c r="L314">
        <v>100</v>
      </c>
      <c r="M314">
        <v>547904.15897999995</v>
      </c>
      <c r="N314">
        <v>95902.552188000001</v>
      </c>
      <c r="O314">
        <v>450655.56907199998</v>
      </c>
      <c r="P314">
        <v>1346.03772</v>
      </c>
      <c r="Q314">
        <v>264.01676500000002</v>
      </c>
      <c r="R314">
        <v>5000</v>
      </c>
      <c r="S314">
        <v>10</v>
      </c>
      <c r="T314">
        <v>0.99</v>
      </c>
      <c r="U314">
        <v>0.56645658308946689</v>
      </c>
    </row>
    <row r="315" spans="1:21" x14ac:dyDescent="0.2">
      <c r="A315" s="16" t="s">
        <v>10</v>
      </c>
      <c r="B315">
        <v>4</v>
      </c>
      <c r="C315">
        <v>444.40244470300001</v>
      </c>
      <c r="D315">
        <v>104717</v>
      </c>
      <c r="E315">
        <v>92.058599999999998</v>
      </c>
      <c r="F315">
        <v>52.386899999999997</v>
      </c>
      <c r="G315">
        <v>74.308199999999999</v>
      </c>
      <c r="H315">
        <v>25.691800000000001</v>
      </c>
      <c r="I315">
        <v>105</v>
      </c>
      <c r="J315">
        <v>100</v>
      </c>
      <c r="K315">
        <v>100</v>
      </c>
      <c r="L315">
        <v>100</v>
      </c>
      <c r="M315">
        <v>545790.84554400004</v>
      </c>
      <c r="N315">
        <v>95902.552188000001</v>
      </c>
      <c r="O315">
        <v>448541.34482599999</v>
      </c>
      <c r="P315">
        <v>1346.9485299999999</v>
      </c>
      <c r="Q315">
        <v>264.97473200000002</v>
      </c>
      <c r="R315">
        <v>5000</v>
      </c>
      <c r="S315">
        <v>10</v>
      </c>
      <c r="T315">
        <v>0.99</v>
      </c>
      <c r="U315">
        <v>0.56906035937978638</v>
      </c>
    </row>
    <row r="316" spans="1:21" x14ac:dyDescent="0.2">
      <c r="A316" s="16" t="s">
        <v>10</v>
      </c>
      <c r="B316">
        <v>4</v>
      </c>
      <c r="C316">
        <v>441.25986488000001</v>
      </c>
      <c r="D316">
        <v>104717</v>
      </c>
      <c r="E316">
        <v>92.058599999999998</v>
      </c>
      <c r="F316">
        <v>52.054600000000001</v>
      </c>
      <c r="G316">
        <v>74.542299999999997</v>
      </c>
      <c r="H316">
        <v>25.457699999999999</v>
      </c>
      <c r="I316">
        <v>105</v>
      </c>
      <c r="J316">
        <v>100</v>
      </c>
      <c r="K316">
        <v>100</v>
      </c>
      <c r="L316">
        <v>100</v>
      </c>
      <c r="M316">
        <v>548565.433326</v>
      </c>
      <c r="N316">
        <v>95902.552188000001</v>
      </c>
      <c r="O316">
        <v>451315.81709800003</v>
      </c>
      <c r="P316">
        <v>1347.06404</v>
      </c>
      <c r="Q316">
        <v>264.19524000000001</v>
      </c>
      <c r="R316">
        <v>5000</v>
      </c>
      <c r="S316">
        <v>10</v>
      </c>
      <c r="T316">
        <v>0.99</v>
      </c>
      <c r="U316">
        <v>0.56545070205282288</v>
      </c>
    </row>
    <row r="317" spans="1:21" x14ac:dyDescent="0.2">
      <c r="A317" s="16" t="s">
        <v>11</v>
      </c>
      <c r="B317">
        <v>4</v>
      </c>
      <c r="C317">
        <v>1630.780666357</v>
      </c>
      <c r="D317">
        <v>104717</v>
      </c>
      <c r="E317">
        <v>92.058599999999998</v>
      </c>
      <c r="F317">
        <v>56.380499999999998</v>
      </c>
      <c r="G317">
        <v>71.349900000000005</v>
      </c>
      <c r="H317">
        <v>28.650099999999998</v>
      </c>
      <c r="I317">
        <v>105</v>
      </c>
      <c r="J317">
        <v>100</v>
      </c>
      <c r="K317">
        <v>100</v>
      </c>
      <c r="L317">
        <v>100</v>
      </c>
      <c r="M317">
        <v>549307.73523400002</v>
      </c>
      <c r="N317">
        <v>95902.552188000001</v>
      </c>
      <c r="O317">
        <v>452062.18670600001</v>
      </c>
      <c r="P317">
        <v>1342.9963399999999</v>
      </c>
      <c r="Q317">
        <v>272.56024600000001</v>
      </c>
      <c r="R317">
        <v>5000</v>
      </c>
      <c r="S317">
        <v>10</v>
      </c>
      <c r="T317">
        <v>0.99</v>
      </c>
      <c r="U317">
        <v>0.61244142318045247</v>
      </c>
    </row>
    <row r="318" spans="1:21" x14ac:dyDescent="0.2">
      <c r="A318" s="16" t="s">
        <v>11</v>
      </c>
      <c r="B318">
        <v>4</v>
      </c>
      <c r="C318">
        <v>1634.7732811999999</v>
      </c>
      <c r="D318">
        <v>104717</v>
      </c>
      <c r="E318">
        <v>92.058599999999998</v>
      </c>
      <c r="F318">
        <v>56.283099999999997</v>
      </c>
      <c r="G318">
        <v>71.203599999999994</v>
      </c>
      <c r="H318">
        <v>28.796399999999998</v>
      </c>
      <c r="I318">
        <v>105</v>
      </c>
      <c r="J318">
        <v>100</v>
      </c>
      <c r="K318">
        <v>100</v>
      </c>
      <c r="L318">
        <v>100</v>
      </c>
      <c r="M318">
        <v>550314.71094699996</v>
      </c>
      <c r="N318">
        <v>95902.552188000001</v>
      </c>
      <c r="O318">
        <v>453069.799039</v>
      </c>
      <c r="P318">
        <v>1342.3597199999999</v>
      </c>
      <c r="Q318">
        <v>273.00025299999999</v>
      </c>
      <c r="R318">
        <v>5000</v>
      </c>
      <c r="S318">
        <v>10</v>
      </c>
      <c r="T318">
        <v>0.99</v>
      </c>
      <c r="U318">
        <v>0.61138340144212489</v>
      </c>
    </row>
    <row r="319" spans="1:21" x14ac:dyDescent="0.2">
      <c r="A319" s="16" t="s">
        <v>11</v>
      </c>
      <c r="B319">
        <v>4</v>
      </c>
      <c r="C319">
        <v>1631.2641454259999</v>
      </c>
      <c r="D319">
        <v>104717</v>
      </c>
      <c r="E319">
        <v>92.058599999999998</v>
      </c>
      <c r="F319">
        <v>56.406300000000002</v>
      </c>
      <c r="G319">
        <v>71.363</v>
      </c>
      <c r="H319">
        <v>28.637</v>
      </c>
      <c r="I319">
        <v>105</v>
      </c>
      <c r="J319">
        <v>100</v>
      </c>
      <c r="K319">
        <v>100</v>
      </c>
      <c r="L319">
        <v>100</v>
      </c>
      <c r="M319">
        <v>549134.86463099997</v>
      </c>
      <c r="N319">
        <v>95902.552188000001</v>
      </c>
      <c r="O319">
        <v>451889.12089299998</v>
      </c>
      <c r="P319">
        <v>1343.19155</v>
      </c>
      <c r="Q319">
        <v>272.72411099999999</v>
      </c>
      <c r="R319">
        <v>5000</v>
      </c>
      <c r="S319">
        <v>10</v>
      </c>
      <c r="T319">
        <v>0.99</v>
      </c>
      <c r="U319">
        <v>0.61272167945200129</v>
      </c>
    </row>
    <row r="320" spans="1:21" x14ac:dyDescent="0.2">
      <c r="A320" s="16" t="s">
        <v>11</v>
      </c>
      <c r="B320">
        <v>4</v>
      </c>
      <c r="C320">
        <v>1629.475000055</v>
      </c>
      <c r="D320">
        <v>104717</v>
      </c>
      <c r="E320">
        <v>92.058599999999998</v>
      </c>
      <c r="F320">
        <v>56.2029</v>
      </c>
      <c r="G320">
        <v>71.1404</v>
      </c>
      <c r="H320">
        <v>28.8596</v>
      </c>
      <c r="I320">
        <v>105</v>
      </c>
      <c r="J320">
        <v>100</v>
      </c>
      <c r="K320">
        <v>100</v>
      </c>
      <c r="L320">
        <v>100</v>
      </c>
      <c r="M320">
        <v>550817.87529700005</v>
      </c>
      <c r="N320">
        <v>95902.552188000001</v>
      </c>
      <c r="O320">
        <v>453572.35741900001</v>
      </c>
      <c r="P320">
        <v>1342.96569</v>
      </c>
      <c r="Q320">
        <v>273.16344800000002</v>
      </c>
      <c r="R320">
        <v>5000</v>
      </c>
      <c r="S320">
        <v>10</v>
      </c>
      <c r="T320">
        <v>0.99</v>
      </c>
      <c r="U320">
        <v>0.61051221721816318</v>
      </c>
    </row>
    <row r="321" spans="1:21" x14ac:dyDescent="0.2">
      <c r="A321" s="16" t="s">
        <v>11</v>
      </c>
      <c r="B321">
        <v>4</v>
      </c>
      <c r="C321">
        <v>1633.1671980389999</v>
      </c>
      <c r="D321">
        <v>104717</v>
      </c>
      <c r="E321">
        <v>92.058599999999998</v>
      </c>
      <c r="F321">
        <v>56.4101</v>
      </c>
      <c r="G321">
        <v>71.190600000000003</v>
      </c>
      <c r="H321">
        <v>28.8094</v>
      </c>
      <c r="I321">
        <v>105</v>
      </c>
      <c r="J321">
        <v>100</v>
      </c>
      <c r="K321">
        <v>100</v>
      </c>
      <c r="L321">
        <v>100</v>
      </c>
      <c r="M321">
        <v>548985.47252499999</v>
      </c>
      <c r="N321">
        <v>95902.552188000001</v>
      </c>
      <c r="O321">
        <v>451739.33677699999</v>
      </c>
      <c r="P321">
        <v>1343.58356</v>
      </c>
      <c r="Q321">
        <v>273.21214900000001</v>
      </c>
      <c r="R321">
        <v>5000</v>
      </c>
      <c r="S321">
        <v>10</v>
      </c>
      <c r="T321">
        <v>0.99</v>
      </c>
      <c r="U321">
        <v>0.61276295750750065</v>
      </c>
    </row>
    <row r="322" spans="1:21" x14ac:dyDescent="0.2">
      <c r="A322" s="16" t="s">
        <v>11</v>
      </c>
      <c r="B322">
        <v>4</v>
      </c>
      <c r="C322">
        <v>1634.5225470190001</v>
      </c>
      <c r="D322">
        <v>104717</v>
      </c>
      <c r="E322">
        <v>92.058599999999998</v>
      </c>
      <c r="F322">
        <v>56.329900000000002</v>
      </c>
      <c r="G322">
        <v>71.325900000000004</v>
      </c>
      <c r="H322">
        <v>28.674099999999999</v>
      </c>
      <c r="I322">
        <v>105</v>
      </c>
      <c r="J322">
        <v>100</v>
      </c>
      <c r="K322">
        <v>100</v>
      </c>
      <c r="L322">
        <v>100</v>
      </c>
      <c r="M322">
        <v>549639.34670400003</v>
      </c>
      <c r="N322">
        <v>95902.552188000001</v>
      </c>
      <c r="O322">
        <v>452395.05213600001</v>
      </c>
      <c r="P322">
        <v>1341.7423799999999</v>
      </c>
      <c r="Q322">
        <v>272.87582099999997</v>
      </c>
      <c r="R322">
        <v>5000</v>
      </c>
      <c r="S322">
        <v>10</v>
      </c>
      <c r="T322">
        <v>0.99</v>
      </c>
      <c r="U322">
        <v>0.61189177328353894</v>
      </c>
    </row>
    <row r="323" spans="1:21" x14ac:dyDescent="0.2">
      <c r="A323" s="16" t="s">
        <v>11</v>
      </c>
      <c r="B323">
        <v>4</v>
      </c>
      <c r="C323">
        <v>1632.2212766529999</v>
      </c>
      <c r="D323">
        <v>104717</v>
      </c>
      <c r="E323">
        <v>92.058599999999998</v>
      </c>
      <c r="F323">
        <v>56.380499999999998</v>
      </c>
      <c r="G323">
        <v>71.265199999999993</v>
      </c>
      <c r="H323">
        <v>28.7348</v>
      </c>
      <c r="I323">
        <v>105</v>
      </c>
      <c r="J323">
        <v>100</v>
      </c>
      <c r="K323">
        <v>100</v>
      </c>
      <c r="L323">
        <v>100</v>
      </c>
      <c r="M323">
        <v>547983.01393500005</v>
      </c>
      <c r="N323">
        <v>95902.552188000001</v>
      </c>
      <c r="O323">
        <v>450738.35104699997</v>
      </c>
      <c r="P323">
        <v>1342.1107</v>
      </c>
      <c r="Q323">
        <v>273.090689</v>
      </c>
      <c r="R323">
        <v>5000</v>
      </c>
      <c r="S323">
        <v>10</v>
      </c>
      <c r="T323">
        <v>0.99</v>
      </c>
      <c r="U323">
        <v>0.61244142318045247</v>
      </c>
    </row>
    <row r="324" spans="1:21" x14ac:dyDescent="0.2">
      <c r="A324" s="16" t="s">
        <v>11</v>
      </c>
      <c r="B324">
        <v>4</v>
      </c>
      <c r="C324">
        <v>1627.3442063529999</v>
      </c>
      <c r="D324">
        <v>104717</v>
      </c>
      <c r="E324">
        <v>92.058599999999998</v>
      </c>
      <c r="F324">
        <v>56.209600000000002</v>
      </c>
      <c r="G324">
        <v>71.193100000000001</v>
      </c>
      <c r="H324">
        <v>28.806899999999999</v>
      </c>
      <c r="I324">
        <v>105</v>
      </c>
      <c r="J324">
        <v>100</v>
      </c>
      <c r="K324">
        <v>100</v>
      </c>
      <c r="L324">
        <v>100</v>
      </c>
      <c r="M324">
        <v>550841.85521800001</v>
      </c>
      <c r="N324">
        <v>95902.552188000001</v>
      </c>
      <c r="O324">
        <v>453596.77223</v>
      </c>
      <c r="P324">
        <v>1342.5308</v>
      </c>
      <c r="Q324">
        <v>272.96597000000003</v>
      </c>
      <c r="R324">
        <v>5000</v>
      </c>
      <c r="S324">
        <v>10</v>
      </c>
      <c r="T324">
        <v>0.99</v>
      </c>
      <c r="U324">
        <v>0.61058499694759649</v>
      </c>
    </row>
    <row r="325" spans="1:21" x14ac:dyDescent="0.2">
      <c r="A325" s="16" t="s">
        <v>11</v>
      </c>
      <c r="B325">
        <v>4</v>
      </c>
      <c r="C325">
        <v>1623.6742499449999</v>
      </c>
      <c r="D325">
        <v>104717</v>
      </c>
      <c r="E325">
        <v>92.058599999999998</v>
      </c>
      <c r="F325">
        <v>56.265900000000002</v>
      </c>
      <c r="G325">
        <v>71.232200000000006</v>
      </c>
      <c r="H325">
        <v>28.767800000000001</v>
      </c>
      <c r="I325">
        <v>105</v>
      </c>
      <c r="J325">
        <v>100</v>
      </c>
      <c r="K325">
        <v>100</v>
      </c>
      <c r="L325">
        <v>100</v>
      </c>
      <c r="M325">
        <v>550221.22353399999</v>
      </c>
      <c r="N325">
        <v>95902.552188000001</v>
      </c>
      <c r="O325">
        <v>452975.75639599998</v>
      </c>
      <c r="P325">
        <v>1342.9149500000001</v>
      </c>
      <c r="Q325">
        <v>272.88538599999998</v>
      </c>
      <c r="R325">
        <v>5000</v>
      </c>
      <c r="S325">
        <v>10</v>
      </c>
      <c r="T325">
        <v>0.99</v>
      </c>
      <c r="U325">
        <v>0.61119656392775912</v>
      </c>
    </row>
    <row r="326" spans="1:21" x14ac:dyDescent="0.2">
      <c r="A326" s="16" t="s">
        <v>11</v>
      </c>
      <c r="B326">
        <v>4</v>
      </c>
      <c r="C326">
        <v>1630.0924343710001</v>
      </c>
      <c r="D326">
        <v>104717</v>
      </c>
      <c r="E326">
        <v>92.058599999999998</v>
      </c>
      <c r="F326">
        <v>56.345199999999998</v>
      </c>
      <c r="G326">
        <v>71.3048</v>
      </c>
      <c r="H326">
        <v>28.6952</v>
      </c>
      <c r="I326">
        <v>105</v>
      </c>
      <c r="J326">
        <v>100</v>
      </c>
      <c r="K326">
        <v>100</v>
      </c>
      <c r="L326">
        <v>100</v>
      </c>
      <c r="M326">
        <v>549644.19527799997</v>
      </c>
      <c r="N326">
        <v>95902.552188000001</v>
      </c>
      <c r="O326">
        <v>452399.02557</v>
      </c>
      <c r="P326">
        <v>1342.61752</v>
      </c>
      <c r="Q326">
        <v>272.96912900000001</v>
      </c>
      <c r="R326">
        <v>5000</v>
      </c>
      <c r="S326">
        <v>10</v>
      </c>
      <c r="T326">
        <v>0.99</v>
      </c>
      <c r="U326">
        <v>0.61205797177015508</v>
      </c>
    </row>
    <row r="327" spans="1:21" x14ac:dyDescent="0.2">
      <c r="A327" s="16" t="s">
        <v>11</v>
      </c>
      <c r="B327">
        <v>4</v>
      </c>
      <c r="C327">
        <v>1638.5530664079999</v>
      </c>
      <c r="D327">
        <v>104717</v>
      </c>
      <c r="E327">
        <v>92.058599999999998</v>
      </c>
      <c r="F327">
        <v>56.324199999999998</v>
      </c>
      <c r="G327">
        <v>71.187299999999993</v>
      </c>
      <c r="H327">
        <v>28.8127</v>
      </c>
      <c r="I327">
        <v>105</v>
      </c>
      <c r="J327">
        <v>100</v>
      </c>
      <c r="K327">
        <v>100</v>
      </c>
      <c r="L327">
        <v>100</v>
      </c>
      <c r="M327">
        <v>549596.31464</v>
      </c>
      <c r="N327">
        <v>95902.552188000001</v>
      </c>
      <c r="O327">
        <v>452351.62634199997</v>
      </c>
      <c r="P327">
        <v>1342.1361099999999</v>
      </c>
      <c r="Q327">
        <v>273.18305099999998</v>
      </c>
      <c r="R327">
        <v>5000</v>
      </c>
      <c r="S327">
        <v>10</v>
      </c>
      <c r="T327">
        <v>0.99</v>
      </c>
      <c r="U327">
        <v>0.61182985620028985</v>
      </c>
    </row>
    <row r="328" spans="1:21" x14ac:dyDescent="0.2">
      <c r="A328" s="16" t="s">
        <v>11</v>
      </c>
      <c r="B328">
        <v>4</v>
      </c>
      <c r="C328">
        <v>1627.1903252069999</v>
      </c>
      <c r="D328">
        <v>104717</v>
      </c>
      <c r="E328">
        <v>92.058599999999998</v>
      </c>
      <c r="F328">
        <v>56.125599999999999</v>
      </c>
      <c r="G328">
        <v>71.020700000000005</v>
      </c>
      <c r="H328">
        <v>28.979299999999999</v>
      </c>
      <c r="I328">
        <v>105</v>
      </c>
      <c r="J328">
        <v>100</v>
      </c>
      <c r="K328">
        <v>100</v>
      </c>
      <c r="L328">
        <v>100</v>
      </c>
      <c r="M328">
        <v>551478.89211200003</v>
      </c>
      <c r="N328">
        <v>95902.552188000001</v>
      </c>
      <c r="O328">
        <v>454234.13535400003</v>
      </c>
      <c r="P328">
        <v>1342.2045700000001</v>
      </c>
      <c r="Q328">
        <v>273.52903900000001</v>
      </c>
      <c r="R328">
        <v>5000</v>
      </c>
      <c r="S328">
        <v>10</v>
      </c>
      <c r="T328">
        <v>0.99</v>
      </c>
      <c r="U328">
        <v>0.60967253466813531</v>
      </c>
    </row>
    <row r="329" spans="1:21" x14ac:dyDescent="0.2">
      <c r="A329" s="16" t="s">
        <v>11</v>
      </c>
      <c r="B329">
        <v>4</v>
      </c>
      <c r="C329">
        <v>1633.9751048149999</v>
      </c>
      <c r="D329">
        <v>104717</v>
      </c>
      <c r="E329">
        <v>92.058599999999998</v>
      </c>
      <c r="F329">
        <v>56.35</v>
      </c>
      <c r="G329">
        <v>71.239500000000007</v>
      </c>
      <c r="H329">
        <v>28.7605</v>
      </c>
      <c r="I329">
        <v>105</v>
      </c>
      <c r="J329">
        <v>100</v>
      </c>
      <c r="K329">
        <v>100</v>
      </c>
      <c r="L329">
        <v>100</v>
      </c>
      <c r="M329">
        <v>549823.52743699995</v>
      </c>
      <c r="N329">
        <v>95902.552188000001</v>
      </c>
      <c r="O329">
        <v>452578.34058900003</v>
      </c>
      <c r="P329">
        <v>1342.6346599999999</v>
      </c>
      <c r="Q329">
        <v>273.03509100000002</v>
      </c>
      <c r="R329">
        <v>5000</v>
      </c>
      <c r="S329">
        <v>10</v>
      </c>
      <c r="T329">
        <v>0.99</v>
      </c>
      <c r="U329">
        <v>0.61211011247183866</v>
      </c>
    </row>
    <row r="330" spans="1:21" x14ac:dyDescent="0.2">
      <c r="A330" s="16" t="s">
        <v>11</v>
      </c>
      <c r="B330">
        <v>4</v>
      </c>
      <c r="C330">
        <v>1638.9169034710001</v>
      </c>
      <c r="D330">
        <v>104717</v>
      </c>
      <c r="E330">
        <v>92.058599999999998</v>
      </c>
      <c r="F330">
        <v>56.458799999999997</v>
      </c>
      <c r="G330">
        <v>71.127499999999998</v>
      </c>
      <c r="H330">
        <v>28.872499999999999</v>
      </c>
      <c r="I330">
        <v>105</v>
      </c>
      <c r="J330">
        <v>100</v>
      </c>
      <c r="K330">
        <v>100</v>
      </c>
      <c r="L330">
        <v>100</v>
      </c>
      <c r="M330">
        <v>548714.53803199995</v>
      </c>
      <c r="N330">
        <v>95902.552188000001</v>
      </c>
      <c r="O330">
        <v>451469.58223399997</v>
      </c>
      <c r="P330">
        <v>1342.4036100000001</v>
      </c>
      <c r="Q330">
        <v>273.26733100000001</v>
      </c>
      <c r="R330">
        <v>5000</v>
      </c>
      <c r="S330">
        <v>10</v>
      </c>
      <c r="T330">
        <v>0.99</v>
      </c>
      <c r="U330">
        <v>0.61329196837666444</v>
      </c>
    </row>
    <row r="331" spans="1:21" x14ac:dyDescent="0.2">
      <c r="A331" s="16" t="s">
        <v>11</v>
      </c>
      <c r="B331">
        <v>4</v>
      </c>
      <c r="C331">
        <v>1637.1411852169999</v>
      </c>
      <c r="D331">
        <v>104717</v>
      </c>
      <c r="E331">
        <v>92.058599999999998</v>
      </c>
      <c r="F331">
        <v>56.346200000000003</v>
      </c>
      <c r="G331">
        <v>71.213800000000006</v>
      </c>
      <c r="H331">
        <v>28.786200000000001</v>
      </c>
      <c r="I331">
        <v>105</v>
      </c>
      <c r="J331">
        <v>100</v>
      </c>
      <c r="K331">
        <v>100</v>
      </c>
      <c r="L331">
        <v>100</v>
      </c>
      <c r="M331">
        <v>547831.22634299996</v>
      </c>
      <c r="N331">
        <v>95902.552188000001</v>
      </c>
      <c r="O331">
        <v>450586.79465499998</v>
      </c>
      <c r="P331">
        <v>1341.8795</v>
      </c>
      <c r="Q331">
        <v>273.42723799999999</v>
      </c>
      <c r="R331">
        <v>5000</v>
      </c>
      <c r="S331">
        <v>10</v>
      </c>
      <c r="T331">
        <v>0.99</v>
      </c>
      <c r="U331">
        <v>0.61206883441633919</v>
      </c>
    </row>
    <row r="332" spans="1:21" x14ac:dyDescent="0.2">
      <c r="A332" s="16" t="s">
        <v>11</v>
      </c>
      <c r="B332">
        <v>4</v>
      </c>
      <c r="C332">
        <v>1633.583963544</v>
      </c>
      <c r="D332">
        <v>104717</v>
      </c>
      <c r="E332">
        <v>92.058599999999998</v>
      </c>
      <c r="F332">
        <v>56.508499999999998</v>
      </c>
      <c r="G332">
        <v>71.484099999999998</v>
      </c>
      <c r="H332">
        <v>28.515899999999998</v>
      </c>
      <c r="I332">
        <v>105</v>
      </c>
      <c r="J332">
        <v>100</v>
      </c>
      <c r="K332">
        <v>100</v>
      </c>
      <c r="L332">
        <v>100</v>
      </c>
      <c r="M332">
        <v>548395.04387000005</v>
      </c>
      <c r="N332">
        <v>95902.552188000001</v>
      </c>
      <c r="O332">
        <v>451149.93098200002</v>
      </c>
      <c r="P332">
        <v>1342.5607</v>
      </c>
      <c r="Q332">
        <v>272.36819500000001</v>
      </c>
      <c r="R332">
        <v>5000</v>
      </c>
      <c r="S332">
        <v>10</v>
      </c>
      <c r="T332">
        <v>0.99</v>
      </c>
      <c r="U332">
        <v>0.61383184189201223</v>
      </c>
    </row>
    <row r="333" spans="1:21" x14ac:dyDescent="0.2">
      <c r="A333" s="16" t="s">
        <v>11</v>
      </c>
      <c r="B333">
        <v>4</v>
      </c>
      <c r="C333">
        <v>1632.331885283</v>
      </c>
      <c r="D333">
        <v>104717</v>
      </c>
      <c r="E333">
        <v>92.058599999999998</v>
      </c>
      <c r="F333">
        <v>56.409199999999998</v>
      </c>
      <c r="G333">
        <v>71.501599999999996</v>
      </c>
      <c r="H333">
        <v>28.4984</v>
      </c>
      <c r="I333">
        <v>105</v>
      </c>
      <c r="J333">
        <v>100</v>
      </c>
      <c r="K333">
        <v>100</v>
      </c>
      <c r="L333">
        <v>100</v>
      </c>
      <c r="M333">
        <v>549377.70993400004</v>
      </c>
      <c r="N333">
        <v>95902.552188000001</v>
      </c>
      <c r="O333">
        <v>452132.51193600002</v>
      </c>
      <c r="P333">
        <v>1342.64581</v>
      </c>
      <c r="Q333">
        <v>272.343953</v>
      </c>
      <c r="R333">
        <v>5000</v>
      </c>
      <c r="S333">
        <v>10</v>
      </c>
      <c r="T333">
        <v>0.99</v>
      </c>
      <c r="U333">
        <v>0.61275318112593502</v>
      </c>
    </row>
    <row r="334" spans="1:21" x14ac:dyDescent="0.2">
      <c r="A334" s="16" t="s">
        <v>11</v>
      </c>
      <c r="B334">
        <v>4</v>
      </c>
      <c r="C334">
        <v>1633.4045140789999</v>
      </c>
      <c r="D334">
        <v>104717</v>
      </c>
      <c r="E334">
        <v>92.058599999999998</v>
      </c>
      <c r="F334">
        <v>56.454999999999998</v>
      </c>
      <c r="G334">
        <v>71.012200000000007</v>
      </c>
      <c r="H334">
        <v>28.9878</v>
      </c>
      <c r="I334">
        <v>105</v>
      </c>
      <c r="J334">
        <v>100</v>
      </c>
      <c r="K334">
        <v>100</v>
      </c>
      <c r="L334">
        <v>100</v>
      </c>
      <c r="M334">
        <v>547757.62627500005</v>
      </c>
      <c r="N334">
        <v>95902.552188000001</v>
      </c>
      <c r="O334">
        <v>450512.828347</v>
      </c>
      <c r="P334">
        <v>1342.2457400000001</v>
      </c>
      <c r="Q334">
        <v>273.74021599999998</v>
      </c>
      <c r="R334">
        <v>5000</v>
      </c>
      <c r="S334">
        <v>10</v>
      </c>
      <c r="T334">
        <v>0.99</v>
      </c>
      <c r="U334">
        <v>0.61325069032116497</v>
      </c>
    </row>
    <row r="335" spans="1:21" x14ac:dyDescent="0.2">
      <c r="A335" s="16" t="s">
        <v>11</v>
      </c>
      <c r="B335">
        <v>4</v>
      </c>
      <c r="C335">
        <v>1632.4809999300001</v>
      </c>
      <c r="D335">
        <v>104717</v>
      </c>
      <c r="E335">
        <v>92.058599999999998</v>
      </c>
      <c r="F335">
        <v>56.303199999999997</v>
      </c>
      <c r="G335">
        <v>71.144400000000005</v>
      </c>
      <c r="H335">
        <v>28.855599999999999</v>
      </c>
      <c r="I335">
        <v>105</v>
      </c>
      <c r="J335">
        <v>100</v>
      </c>
      <c r="K335">
        <v>100</v>
      </c>
      <c r="L335">
        <v>100</v>
      </c>
      <c r="M335">
        <v>550583.33895400004</v>
      </c>
      <c r="N335">
        <v>95902.552188000001</v>
      </c>
      <c r="O335">
        <v>453338.379036</v>
      </c>
      <c r="P335">
        <v>1342.4077299999999</v>
      </c>
      <c r="Q335">
        <v>273.34292900000003</v>
      </c>
      <c r="R335">
        <v>5000</v>
      </c>
      <c r="S335">
        <v>10</v>
      </c>
      <c r="T335">
        <v>0.99</v>
      </c>
      <c r="U335">
        <v>0.6116017406304245</v>
      </c>
    </row>
    <row r="336" spans="1:21" x14ac:dyDescent="0.2">
      <c r="A336" s="16" t="s">
        <v>11</v>
      </c>
      <c r="B336">
        <v>4</v>
      </c>
      <c r="C336">
        <v>1632.8320288120001</v>
      </c>
      <c r="D336">
        <v>104717</v>
      </c>
      <c r="E336">
        <v>92.058599999999998</v>
      </c>
      <c r="F336">
        <v>56.354700000000001</v>
      </c>
      <c r="G336">
        <v>71.145300000000006</v>
      </c>
      <c r="H336">
        <v>28.854700000000001</v>
      </c>
      <c r="I336">
        <v>105</v>
      </c>
      <c r="J336">
        <v>100</v>
      </c>
      <c r="K336">
        <v>100</v>
      </c>
      <c r="L336">
        <v>100</v>
      </c>
      <c r="M336">
        <v>549084.89276299998</v>
      </c>
      <c r="N336">
        <v>95902.552188000001</v>
      </c>
      <c r="O336">
        <v>451839.60787499999</v>
      </c>
      <c r="P336">
        <v>1342.7327</v>
      </c>
      <c r="Q336">
        <v>273.32453400000003</v>
      </c>
      <c r="R336">
        <v>5000</v>
      </c>
      <c r="S336">
        <v>10</v>
      </c>
      <c r="T336">
        <v>0.99</v>
      </c>
      <c r="U336">
        <v>0.61216116690890365</v>
      </c>
    </row>
    <row r="337" spans="1:21" x14ac:dyDescent="0.2">
      <c r="A337" s="16" t="s">
        <v>11</v>
      </c>
      <c r="B337">
        <v>4</v>
      </c>
      <c r="C337">
        <v>1636.419372906</v>
      </c>
      <c r="D337">
        <v>104717</v>
      </c>
      <c r="E337">
        <v>92.058599999999998</v>
      </c>
      <c r="F337">
        <v>56.406300000000002</v>
      </c>
      <c r="G337">
        <v>70.946600000000004</v>
      </c>
      <c r="H337">
        <v>29.0534</v>
      </c>
      <c r="I337">
        <v>105</v>
      </c>
      <c r="J337">
        <v>100</v>
      </c>
      <c r="K337">
        <v>100</v>
      </c>
      <c r="L337">
        <v>100</v>
      </c>
      <c r="M337">
        <v>549119.904981</v>
      </c>
      <c r="N337">
        <v>95902.552188000001</v>
      </c>
      <c r="O337">
        <v>451874.55433299998</v>
      </c>
      <c r="P337">
        <v>1342.79846</v>
      </c>
      <c r="Q337">
        <v>273.88919499999997</v>
      </c>
      <c r="R337">
        <v>5000</v>
      </c>
      <c r="S337">
        <v>10</v>
      </c>
      <c r="T337">
        <v>0.99</v>
      </c>
      <c r="U337">
        <v>0.61272167945200129</v>
      </c>
    </row>
    <row r="338" spans="1:21" x14ac:dyDescent="0.2">
      <c r="A338" s="16" t="s">
        <v>11</v>
      </c>
      <c r="B338">
        <v>4</v>
      </c>
      <c r="C338">
        <v>1638.5735857310001</v>
      </c>
      <c r="D338">
        <v>104717</v>
      </c>
      <c r="E338">
        <v>92.058599999999998</v>
      </c>
      <c r="F338">
        <v>56.422499999999999</v>
      </c>
      <c r="G338">
        <v>71.432199999999995</v>
      </c>
      <c r="H338">
        <v>28.567799999999998</v>
      </c>
      <c r="I338">
        <v>105</v>
      </c>
      <c r="J338">
        <v>100</v>
      </c>
      <c r="K338">
        <v>100</v>
      </c>
      <c r="L338">
        <v>100</v>
      </c>
      <c r="M338">
        <v>548998.44236099999</v>
      </c>
      <c r="N338">
        <v>95902.552188000001</v>
      </c>
      <c r="O338">
        <v>451753.047043</v>
      </c>
      <c r="P338">
        <v>1342.84313</v>
      </c>
      <c r="Q338">
        <v>272.51398799999998</v>
      </c>
      <c r="R338">
        <v>5000</v>
      </c>
      <c r="S338">
        <v>10</v>
      </c>
      <c r="T338">
        <v>0.99</v>
      </c>
      <c r="U338">
        <v>0.61289765432018306</v>
      </c>
    </row>
    <row r="339" spans="1:21" x14ac:dyDescent="0.2">
      <c r="A339" s="16" t="s">
        <v>11</v>
      </c>
      <c r="B339">
        <v>4</v>
      </c>
      <c r="C339">
        <v>1643.962872416</v>
      </c>
      <c r="D339">
        <v>104717</v>
      </c>
      <c r="E339">
        <v>92.058599999999998</v>
      </c>
      <c r="F339">
        <v>56.378599999999999</v>
      </c>
      <c r="G339">
        <v>71.247299999999996</v>
      </c>
      <c r="H339">
        <v>28.752700000000001</v>
      </c>
      <c r="I339">
        <v>105</v>
      </c>
      <c r="J339">
        <v>100</v>
      </c>
      <c r="K339">
        <v>100</v>
      </c>
      <c r="L339">
        <v>100</v>
      </c>
      <c r="M339">
        <v>548514.842618</v>
      </c>
      <c r="N339">
        <v>95902.552188000001</v>
      </c>
      <c r="O339">
        <v>451270.07627999998</v>
      </c>
      <c r="P339">
        <v>1342.21415</v>
      </c>
      <c r="Q339">
        <v>272.89666899999997</v>
      </c>
      <c r="R339">
        <v>5000</v>
      </c>
      <c r="S339">
        <v>10</v>
      </c>
      <c r="T339">
        <v>0.99</v>
      </c>
      <c r="U339">
        <v>0.61242078415270274</v>
      </c>
    </row>
    <row r="340" spans="1:21" x14ac:dyDescent="0.2">
      <c r="A340" s="16" t="s">
        <v>11</v>
      </c>
      <c r="B340">
        <v>4</v>
      </c>
      <c r="C340">
        <v>1641.16012101</v>
      </c>
      <c r="D340">
        <v>104717</v>
      </c>
      <c r="E340">
        <v>92.058599999999998</v>
      </c>
      <c r="F340">
        <v>56.426400000000001</v>
      </c>
      <c r="G340">
        <v>71.185400000000001</v>
      </c>
      <c r="H340">
        <v>28.814599999999999</v>
      </c>
      <c r="I340">
        <v>105</v>
      </c>
      <c r="J340">
        <v>100</v>
      </c>
      <c r="K340">
        <v>100</v>
      </c>
      <c r="L340">
        <v>100</v>
      </c>
      <c r="M340">
        <v>548185.38399100001</v>
      </c>
      <c r="N340">
        <v>95902.552188000001</v>
      </c>
      <c r="O340">
        <v>450940.60776300001</v>
      </c>
      <c r="P340">
        <v>1342.2240400000001</v>
      </c>
      <c r="Q340">
        <v>273.15233000000001</v>
      </c>
      <c r="R340">
        <v>5000</v>
      </c>
      <c r="S340">
        <v>10</v>
      </c>
      <c r="T340">
        <v>0.99</v>
      </c>
      <c r="U340">
        <v>0.6129400186403009</v>
      </c>
    </row>
    <row r="341" spans="1:21" x14ac:dyDescent="0.2">
      <c r="A341" s="16" t="s">
        <v>11</v>
      </c>
      <c r="B341">
        <v>4</v>
      </c>
      <c r="C341">
        <v>1637.2410436519999</v>
      </c>
      <c r="D341">
        <v>104717</v>
      </c>
      <c r="E341">
        <v>92.058599999999998</v>
      </c>
      <c r="F341">
        <v>56.369100000000003</v>
      </c>
      <c r="G341">
        <v>71.069699999999997</v>
      </c>
      <c r="H341">
        <v>28.930299999999999</v>
      </c>
      <c r="I341">
        <v>105</v>
      </c>
      <c r="J341">
        <v>100</v>
      </c>
      <c r="K341">
        <v>100</v>
      </c>
      <c r="L341">
        <v>100</v>
      </c>
      <c r="M341">
        <v>549382.72244599997</v>
      </c>
      <c r="N341">
        <v>95902.552188000001</v>
      </c>
      <c r="O341">
        <v>452138.055918</v>
      </c>
      <c r="P341">
        <v>1342.1143400000001</v>
      </c>
      <c r="Q341">
        <v>273.644992</v>
      </c>
      <c r="R341">
        <v>5000</v>
      </c>
      <c r="S341">
        <v>10</v>
      </c>
      <c r="T341">
        <v>0.99</v>
      </c>
      <c r="U341">
        <v>0.61231758901395417</v>
      </c>
    </row>
    <row r="342" spans="1:21" x14ac:dyDescent="0.2">
      <c r="A342" s="16" t="s">
        <v>11</v>
      </c>
      <c r="B342">
        <v>4</v>
      </c>
      <c r="C342">
        <v>1632.223716496</v>
      </c>
      <c r="D342">
        <v>104717</v>
      </c>
      <c r="E342">
        <v>92.058599999999998</v>
      </c>
      <c r="F342">
        <v>56.265900000000002</v>
      </c>
      <c r="G342">
        <v>71.1982</v>
      </c>
      <c r="H342">
        <v>28.8018</v>
      </c>
      <c r="I342">
        <v>105</v>
      </c>
      <c r="J342">
        <v>100</v>
      </c>
      <c r="K342">
        <v>100</v>
      </c>
      <c r="L342">
        <v>100</v>
      </c>
      <c r="M342">
        <v>550247.75593500002</v>
      </c>
      <c r="N342">
        <v>95902.552188000001</v>
      </c>
      <c r="O342">
        <v>453003.04565699998</v>
      </c>
      <c r="P342">
        <v>1342.1580899999999</v>
      </c>
      <c r="Q342">
        <v>273.10365999999999</v>
      </c>
      <c r="R342">
        <v>5000</v>
      </c>
      <c r="S342">
        <v>10</v>
      </c>
      <c r="T342">
        <v>0.99</v>
      </c>
      <c r="U342">
        <v>0.61119656392775912</v>
      </c>
    </row>
    <row r="343" spans="1:21" x14ac:dyDescent="0.2">
      <c r="A343" s="16" t="s">
        <v>11</v>
      </c>
      <c r="B343">
        <v>4</v>
      </c>
      <c r="C343">
        <v>1632.4741689550001</v>
      </c>
      <c r="D343">
        <v>104717</v>
      </c>
      <c r="E343">
        <v>92.058599999999998</v>
      </c>
      <c r="F343">
        <v>56.293599999999998</v>
      </c>
      <c r="G343">
        <v>71.180199999999999</v>
      </c>
      <c r="H343">
        <v>28.819800000000001</v>
      </c>
      <c r="I343">
        <v>105</v>
      </c>
      <c r="J343">
        <v>100</v>
      </c>
      <c r="K343">
        <v>100</v>
      </c>
      <c r="L343">
        <v>100</v>
      </c>
      <c r="M343">
        <v>549525.23075300001</v>
      </c>
      <c r="N343">
        <v>95902.552188000001</v>
      </c>
      <c r="O343">
        <v>452279.90057499998</v>
      </c>
      <c r="P343">
        <v>1342.77799</v>
      </c>
      <c r="Q343">
        <v>273.16785800000002</v>
      </c>
      <c r="R343">
        <v>5000</v>
      </c>
      <c r="S343">
        <v>10</v>
      </c>
      <c r="T343">
        <v>0.99</v>
      </c>
      <c r="U343">
        <v>0.61149745922705756</v>
      </c>
    </row>
    <row r="344" spans="1:21" x14ac:dyDescent="0.2">
      <c r="A344" s="16" t="s">
        <v>11</v>
      </c>
      <c r="B344">
        <v>4</v>
      </c>
      <c r="C344">
        <v>1630.775014905</v>
      </c>
      <c r="D344">
        <v>104717</v>
      </c>
      <c r="E344">
        <v>92.058599999999998</v>
      </c>
      <c r="F344">
        <v>56.227699999999999</v>
      </c>
      <c r="G344">
        <v>71.166799999999995</v>
      </c>
      <c r="H344">
        <v>28.833200000000001</v>
      </c>
      <c r="I344">
        <v>105</v>
      </c>
      <c r="J344">
        <v>100</v>
      </c>
      <c r="K344">
        <v>100</v>
      </c>
      <c r="L344">
        <v>100</v>
      </c>
      <c r="M344">
        <v>551113.07233899995</v>
      </c>
      <c r="N344">
        <v>95902.552188000001</v>
      </c>
      <c r="O344">
        <v>453867.01526100002</v>
      </c>
      <c r="P344">
        <v>1343.5048899999999</v>
      </c>
      <c r="Q344">
        <v>273.14041900000001</v>
      </c>
      <c r="R344">
        <v>5000</v>
      </c>
      <c r="S344">
        <v>10</v>
      </c>
      <c r="T344">
        <v>0.99</v>
      </c>
      <c r="U344">
        <v>0.61078161084352789</v>
      </c>
    </row>
    <row r="345" spans="1:21" x14ac:dyDescent="0.2">
      <c r="A345" s="16" t="s">
        <v>11</v>
      </c>
      <c r="B345">
        <v>4</v>
      </c>
      <c r="C345">
        <v>1634.7136828140001</v>
      </c>
      <c r="D345">
        <v>104717</v>
      </c>
      <c r="E345">
        <v>92.058599999999998</v>
      </c>
      <c r="F345">
        <v>56.282200000000003</v>
      </c>
      <c r="G345">
        <v>71.113200000000006</v>
      </c>
      <c r="H345">
        <v>28.886800000000001</v>
      </c>
      <c r="I345">
        <v>105</v>
      </c>
      <c r="J345">
        <v>100</v>
      </c>
      <c r="K345">
        <v>100</v>
      </c>
      <c r="L345">
        <v>100</v>
      </c>
      <c r="M345">
        <v>550340.27769599995</v>
      </c>
      <c r="N345">
        <v>95902.552188000001</v>
      </c>
      <c r="O345">
        <v>453095.15312799998</v>
      </c>
      <c r="P345">
        <v>1342.5723800000001</v>
      </c>
      <c r="Q345">
        <v>273.32626099999999</v>
      </c>
      <c r="R345">
        <v>5000</v>
      </c>
      <c r="S345">
        <v>10</v>
      </c>
      <c r="T345">
        <v>0.99</v>
      </c>
      <c r="U345">
        <v>0.61137362506055926</v>
      </c>
    </row>
    <row r="346" spans="1:21" x14ac:dyDescent="0.2">
      <c r="A346" s="16" t="s">
        <v>11</v>
      </c>
      <c r="B346">
        <v>4</v>
      </c>
      <c r="C346">
        <v>1636.3683924219999</v>
      </c>
      <c r="D346">
        <v>104717</v>
      </c>
      <c r="E346">
        <v>92.058599999999998</v>
      </c>
      <c r="F346">
        <v>56.412999999999997</v>
      </c>
      <c r="G346">
        <v>71.291899999999998</v>
      </c>
      <c r="H346">
        <v>28.708100000000002</v>
      </c>
      <c r="I346">
        <v>105</v>
      </c>
      <c r="J346">
        <v>100</v>
      </c>
      <c r="K346">
        <v>100</v>
      </c>
      <c r="L346">
        <v>100</v>
      </c>
      <c r="M346">
        <v>549076.92032300006</v>
      </c>
      <c r="N346">
        <v>95902.552188000001</v>
      </c>
      <c r="O346">
        <v>451831.43027499999</v>
      </c>
      <c r="P346">
        <v>1342.93786</v>
      </c>
      <c r="Q346">
        <v>272.911699</v>
      </c>
      <c r="R346">
        <v>5000</v>
      </c>
      <c r="S346">
        <v>10</v>
      </c>
      <c r="T346">
        <v>0.99</v>
      </c>
      <c r="U346">
        <v>0.61279445918143438</v>
      </c>
    </row>
    <row r="347" spans="1:21" x14ac:dyDescent="0.2">
      <c r="A347" s="16" t="s">
        <v>11</v>
      </c>
      <c r="B347">
        <v>4</v>
      </c>
      <c r="C347">
        <v>1635.8261898799999</v>
      </c>
      <c r="D347">
        <v>104717</v>
      </c>
      <c r="E347">
        <v>92.058599999999998</v>
      </c>
      <c r="F347">
        <v>56.271700000000003</v>
      </c>
      <c r="G347">
        <v>71.584699999999998</v>
      </c>
      <c r="H347">
        <v>28.415299999999998</v>
      </c>
      <c r="I347">
        <v>105</v>
      </c>
      <c r="J347">
        <v>100</v>
      </c>
      <c r="K347">
        <v>100</v>
      </c>
      <c r="L347">
        <v>100</v>
      </c>
      <c r="M347">
        <v>549487.80785600003</v>
      </c>
      <c r="N347">
        <v>95902.552188000001</v>
      </c>
      <c r="O347">
        <v>452242.96042800002</v>
      </c>
      <c r="P347">
        <v>1342.2952399999999</v>
      </c>
      <c r="Q347">
        <v>272.02954299999999</v>
      </c>
      <c r="R347">
        <v>5000</v>
      </c>
      <c r="S347">
        <v>10</v>
      </c>
      <c r="T347">
        <v>0.99</v>
      </c>
      <c r="U347">
        <v>0.61125956727562669</v>
      </c>
    </row>
    <row r="348" spans="1:21" x14ac:dyDescent="0.2">
      <c r="A348" s="16" t="s">
        <v>11</v>
      </c>
      <c r="B348">
        <v>4</v>
      </c>
      <c r="C348">
        <v>1639.3760256800001</v>
      </c>
      <c r="D348">
        <v>104717</v>
      </c>
      <c r="E348">
        <v>92.058599999999998</v>
      </c>
      <c r="F348">
        <v>56.547600000000003</v>
      </c>
      <c r="G348">
        <v>71.078299999999999</v>
      </c>
      <c r="H348">
        <v>28.921700000000001</v>
      </c>
      <c r="I348">
        <v>105</v>
      </c>
      <c r="J348">
        <v>100</v>
      </c>
      <c r="K348">
        <v>100</v>
      </c>
      <c r="L348">
        <v>100</v>
      </c>
      <c r="M348">
        <v>547246.33175799996</v>
      </c>
      <c r="N348">
        <v>95902.552188000001</v>
      </c>
      <c r="O348">
        <v>450001.08266000001</v>
      </c>
      <c r="P348">
        <v>1342.6969099999999</v>
      </c>
      <c r="Q348">
        <v>273.413252</v>
      </c>
      <c r="R348">
        <v>5000</v>
      </c>
      <c r="S348">
        <v>10</v>
      </c>
      <c r="T348">
        <v>0.99</v>
      </c>
      <c r="U348">
        <v>0.61425657135780909</v>
      </c>
    </row>
    <row r="349" spans="1:21" x14ac:dyDescent="0.2">
      <c r="A349" s="16" t="s">
        <v>11</v>
      </c>
      <c r="B349">
        <v>4</v>
      </c>
      <c r="C349">
        <v>1641.9884974290001</v>
      </c>
      <c r="D349">
        <v>104717</v>
      </c>
      <c r="E349">
        <v>92.058599999999998</v>
      </c>
      <c r="F349">
        <v>56.404400000000003</v>
      </c>
      <c r="G349">
        <v>71.240200000000002</v>
      </c>
      <c r="H349">
        <v>28.759799999999998</v>
      </c>
      <c r="I349">
        <v>105</v>
      </c>
      <c r="J349">
        <v>100</v>
      </c>
      <c r="K349">
        <v>100</v>
      </c>
      <c r="L349">
        <v>100</v>
      </c>
      <c r="M349">
        <v>548746.54835099995</v>
      </c>
      <c r="N349">
        <v>95902.552188000001</v>
      </c>
      <c r="O349">
        <v>451502.32382300001</v>
      </c>
      <c r="P349">
        <v>1341.6723400000001</v>
      </c>
      <c r="Q349">
        <v>273.11323599999997</v>
      </c>
      <c r="R349">
        <v>5000</v>
      </c>
      <c r="S349">
        <v>10</v>
      </c>
      <c r="T349">
        <v>0.99</v>
      </c>
      <c r="U349">
        <v>0.61270104042425155</v>
      </c>
    </row>
    <row r="350" spans="1:21" x14ac:dyDescent="0.2">
      <c r="A350" s="16" t="s">
        <v>11</v>
      </c>
      <c r="B350">
        <v>4</v>
      </c>
      <c r="C350">
        <v>1635.818369954</v>
      </c>
      <c r="D350">
        <v>104717</v>
      </c>
      <c r="E350">
        <v>92.058599999999998</v>
      </c>
      <c r="F350">
        <v>56.324199999999998</v>
      </c>
      <c r="G350">
        <v>71.311099999999996</v>
      </c>
      <c r="H350">
        <v>28.6889</v>
      </c>
      <c r="I350">
        <v>105</v>
      </c>
      <c r="J350">
        <v>100</v>
      </c>
      <c r="K350">
        <v>100</v>
      </c>
      <c r="L350">
        <v>100</v>
      </c>
      <c r="M350">
        <v>548758.14275200001</v>
      </c>
      <c r="N350">
        <v>95902.552188000001</v>
      </c>
      <c r="O350">
        <v>451512.12137399998</v>
      </c>
      <c r="P350">
        <v>1343.46919</v>
      </c>
      <c r="Q350">
        <v>272.88719300000002</v>
      </c>
      <c r="R350">
        <v>5000</v>
      </c>
      <c r="S350">
        <v>10</v>
      </c>
      <c r="T350">
        <v>0.99</v>
      </c>
      <c r="U350">
        <v>0.61182985620028985</v>
      </c>
    </row>
    <row r="351" spans="1:21" x14ac:dyDescent="0.2">
      <c r="A351" s="16" t="s">
        <v>11</v>
      </c>
      <c r="B351">
        <v>4</v>
      </c>
      <c r="C351">
        <v>1639.357961447</v>
      </c>
      <c r="D351">
        <v>104717</v>
      </c>
      <c r="E351">
        <v>92.058599999999998</v>
      </c>
      <c r="F351">
        <v>56.435000000000002</v>
      </c>
      <c r="G351">
        <v>70.979900000000001</v>
      </c>
      <c r="H351">
        <v>29.020099999999999</v>
      </c>
      <c r="I351">
        <v>105</v>
      </c>
      <c r="J351">
        <v>100</v>
      </c>
      <c r="K351">
        <v>100</v>
      </c>
      <c r="L351">
        <v>100</v>
      </c>
      <c r="M351">
        <v>548454.81403200002</v>
      </c>
      <c r="N351">
        <v>95902.552188000001</v>
      </c>
      <c r="O351">
        <v>451209.565604</v>
      </c>
      <c r="P351">
        <v>1342.69624</v>
      </c>
      <c r="Q351">
        <v>273.81157400000001</v>
      </c>
      <c r="R351">
        <v>5000</v>
      </c>
      <c r="S351">
        <v>10</v>
      </c>
      <c r="T351">
        <v>0.99</v>
      </c>
      <c r="U351">
        <v>0.61303343739748384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097E3-AB0F-4A4D-8DEA-B2ABA55F2897}">
  <sheetPr codeName="Planilha4"/>
  <dimension ref="A1:U369"/>
  <sheetViews>
    <sheetView zoomScaleNormal="100" workbookViewId="0">
      <selection activeCell="B3" sqref="B3"/>
    </sheetView>
  </sheetViews>
  <sheetFormatPr defaultColWidth="10.1640625" defaultRowHeight="15.75" x14ac:dyDescent="0.2"/>
  <cols>
    <col min="1" max="1" width="30.83203125" style="11" customWidth="1"/>
    <col min="2" max="2" width="30.83203125" style="12" customWidth="1"/>
    <col min="3" max="3" width="2.1640625" style="4" bestFit="1" customWidth="1"/>
    <col min="4" max="6" width="20.83203125" style="4" customWidth="1"/>
    <col min="7" max="11" width="20.83203125" style="13" customWidth="1"/>
    <col min="12" max="12" width="10.1640625" style="4"/>
    <col min="13" max="13" width="10.1640625" style="4" bestFit="1" customWidth="1"/>
    <col min="14" max="14" width="12.1640625" style="4" bestFit="1" customWidth="1"/>
    <col min="15" max="15" width="6.1640625" style="4" bestFit="1" customWidth="1"/>
    <col min="16" max="16" width="5.1640625" style="4" bestFit="1" customWidth="1"/>
    <col min="17" max="17" width="16.6640625" style="4" bestFit="1" customWidth="1"/>
    <col min="18" max="18" width="17.83203125" style="4" bestFit="1" customWidth="1"/>
    <col min="19" max="21" width="16.6640625" style="4" bestFit="1" customWidth="1"/>
    <col min="22" max="16384" width="10.1640625" style="4"/>
  </cols>
  <sheetData>
    <row r="1" spans="1:21" ht="16.5" thickBot="1" x14ac:dyDescent="0.25">
      <c r="A1" s="1" t="s">
        <v>2</v>
      </c>
      <c r="B1" s="2" t="s">
        <v>52</v>
      </c>
      <c r="C1" s="3"/>
      <c r="D1" s="60" t="s">
        <v>16</v>
      </c>
      <c r="E1" s="60" t="s">
        <v>41</v>
      </c>
      <c r="F1" s="60" t="s">
        <v>3</v>
      </c>
      <c r="G1" s="60" t="s">
        <v>43</v>
      </c>
      <c r="H1" s="60" t="s">
        <v>44</v>
      </c>
      <c r="I1" s="61" t="s">
        <v>45</v>
      </c>
      <c r="J1" s="61" t="s">
        <v>46</v>
      </c>
      <c r="K1" s="61" t="s">
        <v>47</v>
      </c>
      <c r="M1" s="17"/>
      <c r="N1" s="17"/>
      <c r="O1" s="17"/>
      <c r="P1" s="17"/>
      <c r="Q1" s="17"/>
      <c r="R1" s="17"/>
      <c r="S1" s="17"/>
      <c r="T1" s="17"/>
      <c r="U1" s="17"/>
    </row>
    <row r="2" spans="1:21" x14ac:dyDescent="0.2">
      <c r="A2" s="1" t="s">
        <v>4</v>
      </c>
      <c r="B2" s="66">
        <v>99</v>
      </c>
      <c r="C2" s="3"/>
      <c r="D2" s="62">
        <v>21052</v>
      </c>
      <c r="E2" s="62" t="s">
        <v>8</v>
      </c>
      <c r="F2" s="63">
        <v>1</v>
      </c>
      <c r="G2" s="64">
        <v>240.03955999999999</v>
      </c>
      <c r="H2" s="64">
        <v>0</v>
      </c>
      <c r="I2" s="64">
        <v>0</v>
      </c>
      <c r="J2" s="64">
        <v>240.03955999999999</v>
      </c>
      <c r="K2" s="64">
        <v>240.03955999999999</v>
      </c>
      <c r="Q2" s="20"/>
      <c r="R2" s="20"/>
      <c r="S2" s="20"/>
      <c r="T2" s="20"/>
      <c r="U2" s="20"/>
    </row>
    <row r="3" spans="1:21" x14ac:dyDescent="0.2">
      <c r="A3" s="1" t="s">
        <v>6</v>
      </c>
      <c r="B3" s="2" t="s">
        <v>53</v>
      </c>
      <c r="C3" s="3"/>
      <c r="D3" s="62">
        <v>21052</v>
      </c>
      <c r="E3" s="62" t="s">
        <v>5</v>
      </c>
      <c r="F3" s="63">
        <v>1</v>
      </c>
      <c r="G3" s="64">
        <v>259.23682600000001</v>
      </c>
      <c r="H3" s="64">
        <v>0</v>
      </c>
      <c r="I3" s="64">
        <v>0</v>
      </c>
      <c r="J3" s="64">
        <v>259.23682600000001</v>
      </c>
      <c r="K3" s="64">
        <v>259.23682600000001</v>
      </c>
      <c r="Q3" s="20"/>
      <c r="R3" s="20"/>
      <c r="S3" s="20"/>
      <c r="T3" s="20"/>
      <c r="U3" s="20"/>
    </row>
    <row r="4" spans="1:21" x14ac:dyDescent="0.2">
      <c r="A4" s="5"/>
      <c r="B4" s="6"/>
      <c r="C4" s="3"/>
      <c r="D4" s="62">
        <v>21052</v>
      </c>
      <c r="E4" s="62" t="s">
        <v>9</v>
      </c>
      <c r="F4" s="63">
        <v>35</v>
      </c>
      <c r="G4" s="64">
        <v>278.44477879999999</v>
      </c>
      <c r="H4" s="64">
        <v>1.1854071971725677</v>
      </c>
      <c r="I4" s="64">
        <v>0.20037038725524023</v>
      </c>
      <c r="J4" s="64">
        <v>277.89808936408502</v>
      </c>
      <c r="K4" s="64">
        <v>278.99146823591497</v>
      </c>
      <c r="Q4" s="20"/>
      <c r="R4" s="20"/>
      <c r="S4" s="20"/>
      <c r="T4" s="20"/>
      <c r="U4" s="20"/>
    </row>
    <row r="5" spans="1:21" x14ac:dyDescent="0.2">
      <c r="A5" s="7"/>
      <c r="B5" s="8"/>
      <c r="C5" s="3"/>
      <c r="D5" s="62">
        <v>21052</v>
      </c>
      <c r="E5" s="62" t="s">
        <v>10</v>
      </c>
      <c r="F5" s="63">
        <v>35</v>
      </c>
      <c r="G5" s="64">
        <v>264.48115568571427</v>
      </c>
      <c r="H5" s="64">
        <v>0.89622205749700412</v>
      </c>
      <c r="I5" s="64">
        <v>0.15148917701502765</v>
      </c>
      <c r="J5" s="64">
        <v>264.0678334684743</v>
      </c>
      <c r="K5" s="64">
        <v>264.89447790295424</v>
      </c>
      <c r="Q5" s="20"/>
      <c r="R5" s="20"/>
      <c r="S5" s="20"/>
      <c r="T5" s="20"/>
      <c r="U5" s="20"/>
    </row>
    <row r="6" spans="1:21" x14ac:dyDescent="0.2">
      <c r="A6" s="7"/>
      <c r="B6" s="8"/>
      <c r="C6" s="3"/>
      <c r="D6" s="62">
        <v>21052</v>
      </c>
      <c r="E6" s="62" t="s">
        <v>11</v>
      </c>
      <c r="F6" s="63">
        <v>35</v>
      </c>
      <c r="G6" s="64">
        <v>272.36241111428569</v>
      </c>
      <c r="H6" s="64">
        <v>0.78093778429691774</v>
      </c>
      <c r="I6" s="64">
        <v>0.1320025782153601</v>
      </c>
      <c r="J6" s="64">
        <v>272.00225602344409</v>
      </c>
      <c r="K6" s="64">
        <v>272.72256620512729</v>
      </c>
    </row>
    <row r="7" spans="1:21" x14ac:dyDescent="0.2">
      <c r="A7" s="9"/>
      <c r="B7" s="10"/>
      <c r="C7" s="3"/>
      <c r="D7" s="62">
        <v>62936</v>
      </c>
      <c r="E7" s="62" t="s">
        <v>8</v>
      </c>
      <c r="F7" s="63">
        <v>1</v>
      </c>
      <c r="G7" s="64">
        <v>241.47233800000001</v>
      </c>
      <c r="H7" s="64">
        <v>0</v>
      </c>
      <c r="I7" s="64">
        <v>0</v>
      </c>
      <c r="J7" s="64">
        <v>241.47233800000001</v>
      </c>
      <c r="K7" s="64">
        <v>241.47233800000001</v>
      </c>
      <c r="Q7" s="20"/>
      <c r="R7" s="20"/>
      <c r="S7" s="20"/>
      <c r="T7" s="20"/>
      <c r="U7" s="20"/>
    </row>
    <row r="8" spans="1:21" x14ac:dyDescent="0.2">
      <c r="A8" s="12"/>
      <c r="C8" s="3"/>
      <c r="D8" s="62">
        <v>62936</v>
      </c>
      <c r="E8" s="62" t="s">
        <v>5</v>
      </c>
      <c r="F8" s="63">
        <v>1</v>
      </c>
      <c r="G8" s="64">
        <v>260.091702</v>
      </c>
      <c r="H8" s="64">
        <v>0</v>
      </c>
      <c r="I8" s="64">
        <v>0</v>
      </c>
      <c r="J8" s="64">
        <v>260.091702</v>
      </c>
      <c r="K8" s="64">
        <v>260.091702</v>
      </c>
      <c r="Q8" s="20"/>
      <c r="R8" s="20"/>
      <c r="S8" s="20"/>
      <c r="T8" s="20"/>
      <c r="U8" s="20"/>
    </row>
    <row r="9" spans="1:21" x14ac:dyDescent="0.2">
      <c r="A9" s="64"/>
      <c r="B9" s="64"/>
      <c r="C9" s="3"/>
      <c r="D9" s="62">
        <v>62936</v>
      </c>
      <c r="E9" s="62" t="s">
        <v>9</v>
      </c>
      <c r="F9" s="63">
        <v>35</v>
      </c>
      <c r="G9" s="64">
        <v>279.09656231428568</v>
      </c>
      <c r="H9" s="64">
        <v>0.67244784875087971</v>
      </c>
      <c r="I9" s="64">
        <v>0.1136644320909688</v>
      </c>
      <c r="J9" s="64">
        <v>278.78644091803238</v>
      </c>
      <c r="K9" s="64">
        <v>279.40668371053897</v>
      </c>
    </row>
    <row r="10" spans="1:21" x14ac:dyDescent="0.2">
      <c r="A10" s="64"/>
      <c r="B10" s="64"/>
      <c r="C10" s="3"/>
      <c r="D10" s="62">
        <v>62936</v>
      </c>
      <c r="E10" s="62" t="s">
        <v>10</v>
      </c>
      <c r="F10" s="63">
        <v>35</v>
      </c>
      <c r="G10" s="64">
        <v>264.50905405714281</v>
      </c>
      <c r="H10" s="64">
        <v>0.62025553142825884</v>
      </c>
      <c r="I10" s="64">
        <v>0.10484232028109802</v>
      </c>
      <c r="J10" s="64">
        <v>264.22300286105724</v>
      </c>
      <c r="K10" s="64">
        <v>264.79510525322837</v>
      </c>
      <c r="Q10" s="20"/>
      <c r="R10" s="20"/>
      <c r="S10" s="20"/>
      <c r="T10" s="20"/>
      <c r="U10" s="20"/>
    </row>
    <row r="11" spans="1:21" x14ac:dyDescent="0.2">
      <c r="A11" s="64"/>
      <c r="B11" s="64"/>
      <c r="C11" s="3"/>
      <c r="D11" s="62">
        <v>62936</v>
      </c>
      <c r="E11" s="62" t="s">
        <v>11</v>
      </c>
      <c r="F11" s="63">
        <v>35</v>
      </c>
      <c r="G11" s="64">
        <v>272.99618337142857</v>
      </c>
      <c r="H11" s="64">
        <v>0.47628312858290189</v>
      </c>
      <c r="I11" s="64">
        <v>8.0506542515449739E-2</v>
      </c>
      <c r="J11" s="64">
        <v>272.77652977431705</v>
      </c>
      <c r="K11" s="64">
        <v>273.21583696854009</v>
      </c>
      <c r="Q11" s="20"/>
      <c r="R11" s="20"/>
      <c r="S11" s="20"/>
      <c r="T11" s="20"/>
      <c r="U11" s="20"/>
    </row>
    <row r="12" spans="1:21" x14ac:dyDescent="0.2">
      <c r="A12" s="64"/>
      <c r="B12" s="64"/>
      <c r="C12" s="3"/>
      <c r="D12" s="62">
        <v>104717</v>
      </c>
      <c r="E12" s="62" t="s">
        <v>8</v>
      </c>
      <c r="F12" s="63">
        <v>1</v>
      </c>
      <c r="G12" s="64">
        <v>241.34255999999999</v>
      </c>
      <c r="H12" s="64">
        <v>0</v>
      </c>
      <c r="I12" s="64">
        <v>0</v>
      </c>
      <c r="J12" s="64">
        <v>241.34255999999999</v>
      </c>
      <c r="K12" s="64">
        <v>241.34255999999999</v>
      </c>
    </row>
    <row r="13" spans="1:21" x14ac:dyDescent="0.2">
      <c r="A13" s="64"/>
      <c r="B13" s="64"/>
      <c r="C13" s="3"/>
      <c r="D13" s="62">
        <v>104717</v>
      </c>
      <c r="E13" s="62" t="s">
        <v>5</v>
      </c>
      <c r="F13" s="63">
        <v>1</v>
      </c>
      <c r="G13" s="64">
        <v>259.4633</v>
      </c>
      <c r="H13" s="64">
        <v>0</v>
      </c>
      <c r="I13" s="64">
        <v>0</v>
      </c>
      <c r="J13" s="64">
        <v>259.4633</v>
      </c>
      <c r="K13" s="64">
        <v>259.4633</v>
      </c>
    </row>
    <row r="14" spans="1:21" x14ac:dyDescent="0.2">
      <c r="A14" s="64"/>
      <c r="B14" s="64"/>
      <c r="C14" s="3"/>
      <c r="D14" s="62">
        <v>104717</v>
      </c>
      <c r="E14" s="62" t="s">
        <v>9</v>
      </c>
      <c r="F14" s="63">
        <v>35</v>
      </c>
      <c r="G14" s="64">
        <v>279.13472982857149</v>
      </c>
      <c r="H14" s="64">
        <v>0.41656030001680278</v>
      </c>
      <c r="I14" s="64">
        <v>7.041154198203764E-2</v>
      </c>
      <c r="J14" s="64">
        <v>278.94261937405093</v>
      </c>
      <c r="K14" s="64">
        <v>279.32684028309205</v>
      </c>
      <c r="Q14" s="20"/>
      <c r="R14" s="20"/>
      <c r="S14" s="20"/>
      <c r="T14" s="20"/>
      <c r="U14" s="20"/>
    </row>
    <row r="15" spans="1:21" x14ac:dyDescent="0.2">
      <c r="A15" s="64"/>
      <c r="B15" s="64"/>
      <c r="C15" s="3"/>
      <c r="D15" s="62">
        <v>104717</v>
      </c>
      <c r="E15" s="62" t="s">
        <v>10</v>
      </c>
      <c r="F15" s="63">
        <v>35</v>
      </c>
      <c r="G15" s="64">
        <v>264.55226557142856</v>
      </c>
      <c r="H15" s="64">
        <v>0.45874453125949233</v>
      </c>
      <c r="I15" s="64">
        <v>7.7541978485479779E-2</v>
      </c>
      <c r="J15" s="64">
        <v>264.34070047411728</v>
      </c>
      <c r="K15" s="64">
        <v>264.76383066873984</v>
      </c>
    </row>
    <row r="16" spans="1:21" x14ac:dyDescent="0.2">
      <c r="A16" s="64"/>
      <c r="B16" s="64"/>
      <c r="C16" s="3"/>
      <c r="D16" s="62">
        <v>104717</v>
      </c>
      <c r="E16" s="62" t="s">
        <v>11</v>
      </c>
      <c r="F16" s="63">
        <v>35</v>
      </c>
      <c r="G16" s="64">
        <v>273.08601851428568</v>
      </c>
      <c r="H16" s="64">
        <v>0.41075959966093306</v>
      </c>
      <c r="I16" s="64">
        <v>6.9431044664803945E-2</v>
      </c>
      <c r="J16" s="64">
        <v>272.89658324312239</v>
      </c>
      <c r="K16" s="64">
        <v>273.27545378544897</v>
      </c>
      <c r="Q16" s="20"/>
      <c r="R16" s="20"/>
      <c r="S16" s="20"/>
      <c r="T16" s="20"/>
      <c r="U16" s="20"/>
    </row>
    <row r="17" spans="1:21" x14ac:dyDescent="0.2">
      <c r="A17" s="64"/>
      <c r="B17" s="64"/>
      <c r="I17" s="14"/>
      <c r="J17" s="14"/>
      <c r="K17" s="14"/>
    </row>
    <row r="18" spans="1:21" x14ac:dyDescent="0.2">
      <c r="A18" s="64"/>
      <c r="B18" s="64"/>
      <c r="Q18" s="20"/>
      <c r="R18" s="20"/>
      <c r="S18" s="20"/>
      <c r="T18" s="20"/>
      <c r="U18" s="20"/>
    </row>
    <row r="19" spans="1:21" x14ac:dyDescent="0.2">
      <c r="I19" s="14"/>
      <c r="J19" s="14"/>
      <c r="K19" s="14"/>
      <c r="Q19" s="20"/>
      <c r="R19" s="20"/>
      <c r="S19" s="20"/>
      <c r="T19" s="20"/>
      <c r="U19" s="20"/>
    </row>
    <row r="20" spans="1:21" x14ac:dyDescent="0.2">
      <c r="I20" s="14"/>
      <c r="J20" s="14"/>
      <c r="K20" s="14"/>
    </row>
    <row r="22" spans="1:21" x14ac:dyDescent="0.2">
      <c r="J22" s="15"/>
      <c r="Q22" s="20"/>
      <c r="R22" s="20"/>
      <c r="S22" s="20"/>
      <c r="T22" s="20"/>
      <c r="U22" s="20"/>
    </row>
    <row r="24" spans="1:21" x14ac:dyDescent="0.2">
      <c r="Q24" s="20"/>
      <c r="R24" s="20"/>
      <c r="S24" s="20"/>
      <c r="T24" s="20"/>
      <c r="U24" s="20"/>
    </row>
    <row r="25" spans="1:21" x14ac:dyDescent="0.2">
      <c r="Q25" s="20"/>
      <c r="R25" s="20"/>
      <c r="S25" s="20"/>
      <c r="T25" s="20"/>
      <c r="U25" s="20"/>
    </row>
    <row r="28" spans="1:21" x14ac:dyDescent="0.2">
      <c r="Q28" s="20"/>
      <c r="R28" s="20"/>
      <c r="S28" s="20"/>
      <c r="T28" s="20"/>
      <c r="U28" s="20"/>
    </row>
    <row r="30" spans="1:21" x14ac:dyDescent="0.2">
      <c r="Q30" s="20"/>
      <c r="R30" s="20"/>
      <c r="S30" s="20"/>
      <c r="T30" s="20"/>
      <c r="U30" s="20"/>
    </row>
    <row r="31" spans="1:21" x14ac:dyDescent="0.2">
      <c r="Q31" s="20"/>
      <c r="R31" s="20"/>
      <c r="S31" s="20"/>
      <c r="T31" s="20"/>
      <c r="U31" s="20"/>
    </row>
    <row r="32" spans="1:21" x14ac:dyDescent="0.2">
      <c r="Q32" s="20"/>
      <c r="R32" s="20"/>
      <c r="S32" s="20"/>
      <c r="T32" s="20"/>
      <c r="U32" s="20"/>
    </row>
    <row r="33" spans="17:21" x14ac:dyDescent="0.2">
      <c r="Q33" s="20"/>
      <c r="R33" s="20"/>
      <c r="S33" s="20"/>
      <c r="T33" s="20"/>
      <c r="U33" s="20"/>
    </row>
    <row r="34" spans="17:21" x14ac:dyDescent="0.2">
      <c r="Q34" s="20"/>
      <c r="R34" s="20"/>
      <c r="S34" s="20"/>
      <c r="T34" s="20"/>
      <c r="U34" s="20"/>
    </row>
    <row r="35" spans="17:21" x14ac:dyDescent="0.2">
      <c r="Q35" s="20"/>
      <c r="R35" s="20"/>
      <c r="S35" s="20"/>
      <c r="T35" s="20"/>
      <c r="U35" s="20"/>
    </row>
    <row r="37" spans="17:21" x14ac:dyDescent="0.2">
      <c r="Q37" s="20"/>
      <c r="R37" s="20"/>
      <c r="S37" s="20"/>
      <c r="T37" s="20"/>
      <c r="U37" s="20"/>
    </row>
    <row r="38" spans="17:21" x14ac:dyDescent="0.2">
      <c r="Q38" s="20"/>
      <c r="R38" s="20"/>
      <c r="S38" s="20"/>
      <c r="T38" s="20"/>
      <c r="U38" s="20"/>
    </row>
    <row r="40" spans="17:21" x14ac:dyDescent="0.2">
      <c r="Q40" s="20"/>
      <c r="R40" s="20"/>
      <c r="S40" s="20"/>
      <c r="T40" s="20"/>
      <c r="U40" s="20"/>
    </row>
    <row r="41" spans="17:21" x14ac:dyDescent="0.2">
      <c r="Q41" s="20"/>
      <c r="R41" s="20"/>
      <c r="S41" s="20"/>
      <c r="T41" s="20"/>
      <c r="U41" s="20"/>
    </row>
    <row r="43" spans="17:21" x14ac:dyDescent="0.2">
      <c r="Q43" s="20"/>
      <c r="R43" s="20"/>
      <c r="S43" s="20"/>
      <c r="T43" s="20"/>
      <c r="U43" s="20"/>
    </row>
    <row r="44" spans="17:21" x14ac:dyDescent="0.2">
      <c r="Q44" s="20"/>
      <c r="R44" s="20"/>
      <c r="S44" s="20"/>
      <c r="T44" s="20"/>
      <c r="U44" s="20"/>
    </row>
    <row r="45" spans="17:21" x14ac:dyDescent="0.2">
      <c r="Q45" s="20"/>
      <c r="R45" s="20"/>
      <c r="S45" s="20"/>
      <c r="T45" s="20"/>
      <c r="U45" s="20"/>
    </row>
    <row r="46" spans="17:21" x14ac:dyDescent="0.2">
      <c r="Q46" s="20"/>
      <c r="R46" s="20"/>
      <c r="S46" s="20"/>
      <c r="T46" s="20"/>
      <c r="U46" s="20"/>
    </row>
    <row r="49" spans="17:21" x14ac:dyDescent="0.2">
      <c r="Q49" s="20"/>
      <c r="R49" s="20"/>
      <c r="S49" s="20"/>
      <c r="T49" s="20"/>
      <c r="U49" s="20"/>
    </row>
    <row r="50" spans="17:21" x14ac:dyDescent="0.2">
      <c r="Q50" s="20"/>
      <c r="R50" s="20"/>
      <c r="S50" s="20"/>
      <c r="T50" s="20"/>
      <c r="U50" s="20"/>
    </row>
    <row r="52" spans="17:21" x14ac:dyDescent="0.2">
      <c r="Q52" s="20"/>
      <c r="R52" s="20"/>
      <c r="S52" s="20"/>
      <c r="T52" s="20"/>
      <c r="U52" s="20"/>
    </row>
    <row r="53" spans="17:21" x14ac:dyDescent="0.2">
      <c r="Q53" s="20"/>
      <c r="R53" s="20"/>
      <c r="S53" s="20"/>
      <c r="T53" s="20"/>
      <c r="U53" s="20"/>
    </row>
    <row r="54" spans="17:21" x14ac:dyDescent="0.2">
      <c r="Q54" s="20"/>
      <c r="R54" s="20"/>
      <c r="S54" s="20"/>
      <c r="T54" s="20"/>
      <c r="U54" s="20"/>
    </row>
    <row r="57" spans="17:21" x14ac:dyDescent="0.2">
      <c r="Q57" s="20"/>
      <c r="R57" s="20"/>
      <c r="S57" s="20"/>
      <c r="T57" s="20"/>
      <c r="U57" s="20"/>
    </row>
    <row r="58" spans="17:21" x14ac:dyDescent="0.2">
      <c r="Q58" s="20"/>
      <c r="R58" s="20"/>
      <c r="S58" s="20"/>
      <c r="T58" s="20"/>
      <c r="U58" s="20"/>
    </row>
    <row r="59" spans="17:21" x14ac:dyDescent="0.2">
      <c r="Q59" s="20"/>
      <c r="R59" s="20"/>
      <c r="S59" s="20"/>
      <c r="T59" s="20"/>
      <c r="U59" s="20"/>
    </row>
    <row r="63" spans="17:21" x14ac:dyDescent="0.2">
      <c r="Q63" s="20"/>
      <c r="R63" s="20"/>
      <c r="S63" s="20"/>
      <c r="T63" s="20"/>
      <c r="U63" s="20"/>
    </row>
    <row r="66" spans="17:21" x14ac:dyDescent="0.2">
      <c r="Q66" s="20"/>
      <c r="R66" s="20"/>
      <c r="S66" s="20"/>
      <c r="T66" s="20"/>
      <c r="U66" s="20"/>
    </row>
    <row r="67" spans="17:21" x14ac:dyDescent="0.2">
      <c r="Q67" s="20"/>
      <c r="R67" s="20"/>
      <c r="S67" s="20"/>
      <c r="T67" s="20"/>
      <c r="U67" s="20"/>
    </row>
    <row r="68" spans="17:21" x14ac:dyDescent="0.2">
      <c r="Q68" s="20"/>
      <c r="R68" s="20"/>
      <c r="S68" s="20"/>
      <c r="T68" s="20"/>
      <c r="U68" s="20"/>
    </row>
    <row r="71" spans="17:21" x14ac:dyDescent="0.2">
      <c r="Q71" s="20"/>
      <c r="R71" s="20"/>
      <c r="S71" s="20"/>
      <c r="T71" s="20"/>
      <c r="U71" s="20"/>
    </row>
    <row r="72" spans="17:21" x14ac:dyDescent="0.2">
      <c r="Q72" s="20"/>
      <c r="R72" s="20"/>
      <c r="S72" s="20"/>
      <c r="T72" s="20"/>
      <c r="U72" s="20"/>
    </row>
    <row r="74" spans="17:21" x14ac:dyDescent="0.2">
      <c r="Q74" s="20"/>
      <c r="R74" s="20"/>
      <c r="S74" s="20"/>
      <c r="T74" s="20"/>
      <c r="U74" s="20"/>
    </row>
    <row r="75" spans="17:21" x14ac:dyDescent="0.2">
      <c r="Q75" s="20"/>
      <c r="R75" s="20"/>
      <c r="S75" s="20"/>
      <c r="T75" s="20"/>
      <c r="U75" s="20"/>
    </row>
    <row r="77" spans="17:21" x14ac:dyDescent="0.2">
      <c r="Q77" s="20"/>
      <c r="R77" s="20"/>
      <c r="S77" s="20"/>
      <c r="T77" s="20"/>
      <c r="U77" s="20"/>
    </row>
    <row r="79" spans="17:21" x14ac:dyDescent="0.2">
      <c r="Q79" s="20"/>
      <c r="R79" s="20"/>
      <c r="S79" s="20"/>
      <c r="T79" s="20"/>
      <c r="U79" s="20"/>
    </row>
    <row r="80" spans="17:21" x14ac:dyDescent="0.2">
      <c r="Q80" s="20"/>
      <c r="R80" s="20"/>
      <c r="S80" s="20"/>
      <c r="T80" s="20"/>
      <c r="U80" s="20"/>
    </row>
    <row r="81" spans="17:21" x14ac:dyDescent="0.2">
      <c r="Q81" s="20"/>
      <c r="R81" s="20"/>
      <c r="S81" s="20"/>
      <c r="T81" s="20"/>
      <c r="U81" s="20"/>
    </row>
    <row r="82" spans="17:21" x14ac:dyDescent="0.2">
      <c r="Q82" s="20"/>
      <c r="R82" s="20"/>
      <c r="S82" s="20"/>
      <c r="T82" s="20"/>
      <c r="U82" s="20"/>
    </row>
    <row r="83" spans="17:21" x14ac:dyDescent="0.2">
      <c r="Q83" s="20"/>
      <c r="R83" s="20"/>
      <c r="S83" s="20"/>
      <c r="T83" s="20"/>
      <c r="U83" s="20"/>
    </row>
    <row r="84" spans="17:21" x14ac:dyDescent="0.2">
      <c r="Q84" s="20"/>
      <c r="R84" s="20"/>
      <c r="S84" s="20"/>
      <c r="T84" s="20"/>
      <c r="U84" s="20"/>
    </row>
    <row r="87" spans="17:21" x14ac:dyDescent="0.2">
      <c r="Q87" s="20"/>
      <c r="R87" s="20"/>
      <c r="S87" s="20"/>
      <c r="T87" s="20"/>
      <c r="U87" s="20"/>
    </row>
    <row r="89" spans="17:21" x14ac:dyDescent="0.2">
      <c r="Q89" s="20"/>
      <c r="R89" s="20"/>
      <c r="S89" s="20"/>
      <c r="T89" s="20"/>
      <c r="U89" s="20"/>
    </row>
    <row r="90" spans="17:21" x14ac:dyDescent="0.2">
      <c r="Q90" s="20"/>
      <c r="R90" s="20"/>
      <c r="S90" s="20"/>
      <c r="T90" s="20"/>
      <c r="U90" s="20"/>
    </row>
    <row r="92" spans="17:21" x14ac:dyDescent="0.2">
      <c r="Q92" s="20"/>
      <c r="R92" s="20"/>
      <c r="S92" s="20"/>
      <c r="T92" s="20"/>
      <c r="U92" s="20"/>
    </row>
    <row r="94" spans="17:21" x14ac:dyDescent="0.2">
      <c r="Q94" s="20"/>
      <c r="R94" s="20"/>
      <c r="S94" s="20"/>
      <c r="T94" s="20"/>
      <c r="U94" s="20"/>
    </row>
    <row r="96" spans="17:21" x14ac:dyDescent="0.2">
      <c r="Q96" s="20"/>
      <c r="R96" s="20"/>
      <c r="S96" s="20"/>
      <c r="T96" s="20"/>
      <c r="U96" s="20"/>
    </row>
    <row r="98" spans="17:21" x14ac:dyDescent="0.2">
      <c r="Q98" s="20"/>
      <c r="R98" s="20"/>
      <c r="S98" s="20"/>
      <c r="T98" s="20"/>
      <c r="U98" s="20"/>
    </row>
    <row r="99" spans="17:21" x14ac:dyDescent="0.2">
      <c r="Q99" s="20"/>
      <c r="R99" s="20"/>
      <c r="S99" s="20"/>
      <c r="T99" s="20"/>
      <c r="U99" s="20"/>
    </row>
    <row r="100" spans="17:21" x14ac:dyDescent="0.2">
      <c r="Q100" s="20"/>
      <c r="R100" s="20"/>
      <c r="S100" s="20"/>
      <c r="T100" s="20"/>
      <c r="U100" s="20"/>
    </row>
    <row r="102" spans="17:21" x14ac:dyDescent="0.2">
      <c r="Q102" s="20"/>
      <c r="R102" s="20"/>
      <c r="S102" s="20"/>
      <c r="T102" s="20"/>
      <c r="U102" s="20"/>
    </row>
    <row r="106" spans="17:21" x14ac:dyDescent="0.2">
      <c r="Q106" s="20"/>
      <c r="R106" s="20"/>
      <c r="S106" s="20"/>
      <c r="T106" s="20"/>
      <c r="U106" s="20"/>
    </row>
    <row r="107" spans="17:21" x14ac:dyDescent="0.2">
      <c r="Q107" s="20"/>
      <c r="R107" s="20"/>
      <c r="S107" s="20"/>
      <c r="T107" s="20"/>
      <c r="U107" s="20"/>
    </row>
    <row r="108" spans="17:21" x14ac:dyDescent="0.2">
      <c r="Q108" s="20"/>
      <c r="R108" s="20"/>
      <c r="S108" s="20"/>
      <c r="T108" s="20"/>
      <c r="U108" s="20"/>
    </row>
    <row r="109" spans="17:21" x14ac:dyDescent="0.2">
      <c r="Q109" s="20"/>
      <c r="R109" s="20"/>
      <c r="S109" s="20"/>
      <c r="T109" s="20"/>
      <c r="U109" s="20"/>
    </row>
    <row r="112" spans="17:21" x14ac:dyDescent="0.2">
      <c r="Q112" s="20"/>
      <c r="R112" s="20"/>
      <c r="S112" s="20"/>
      <c r="T112" s="20"/>
      <c r="U112" s="20"/>
    </row>
    <row r="115" spans="17:21" x14ac:dyDescent="0.2">
      <c r="Q115" s="20"/>
      <c r="R115" s="20"/>
      <c r="S115" s="20"/>
      <c r="T115" s="20"/>
      <c r="U115" s="20"/>
    </row>
    <row r="116" spans="17:21" x14ac:dyDescent="0.2">
      <c r="Q116" s="20"/>
      <c r="R116" s="20"/>
      <c r="S116" s="20"/>
      <c r="T116" s="20"/>
      <c r="U116" s="20"/>
    </row>
    <row r="117" spans="17:21" x14ac:dyDescent="0.2">
      <c r="Q117" s="20"/>
      <c r="R117" s="20"/>
      <c r="S117" s="20"/>
      <c r="T117" s="20"/>
      <c r="U117" s="20"/>
    </row>
    <row r="118" spans="17:21" x14ac:dyDescent="0.2">
      <c r="Q118" s="20"/>
      <c r="R118" s="20"/>
      <c r="S118" s="20"/>
      <c r="T118" s="20"/>
      <c r="U118" s="20"/>
    </row>
    <row r="120" spans="17:21" x14ac:dyDescent="0.2">
      <c r="Q120" s="20"/>
      <c r="R120" s="20"/>
      <c r="S120" s="20"/>
      <c r="T120" s="20"/>
      <c r="U120" s="20"/>
    </row>
    <row r="121" spans="17:21" x14ac:dyDescent="0.2">
      <c r="Q121" s="20"/>
      <c r="R121" s="20"/>
      <c r="S121" s="20"/>
      <c r="T121" s="20"/>
      <c r="U121" s="20"/>
    </row>
    <row r="124" spans="17:21" x14ac:dyDescent="0.2">
      <c r="Q124" s="20"/>
      <c r="R124" s="20"/>
      <c r="S124" s="20"/>
      <c r="T124" s="20"/>
      <c r="U124" s="20"/>
    </row>
    <row r="125" spans="17:21" x14ac:dyDescent="0.2">
      <c r="Q125" s="20"/>
      <c r="R125" s="20"/>
      <c r="S125" s="20"/>
      <c r="T125" s="20"/>
      <c r="U125" s="20"/>
    </row>
    <row r="127" spans="17:21" x14ac:dyDescent="0.2">
      <c r="Q127" s="20"/>
      <c r="R127" s="20"/>
      <c r="S127" s="20"/>
      <c r="T127" s="20"/>
      <c r="U127" s="20"/>
    </row>
    <row r="129" spans="17:21" x14ac:dyDescent="0.2">
      <c r="Q129" s="20"/>
      <c r="R129" s="20"/>
      <c r="S129" s="20"/>
      <c r="T129" s="20"/>
      <c r="U129" s="20"/>
    </row>
    <row r="130" spans="17:21" x14ac:dyDescent="0.2">
      <c r="Q130" s="20"/>
      <c r="R130" s="20"/>
      <c r="S130" s="20"/>
      <c r="T130" s="20"/>
      <c r="U130" s="20"/>
    </row>
    <row r="132" spans="17:21" x14ac:dyDescent="0.2">
      <c r="Q132" s="20"/>
      <c r="R132" s="20"/>
      <c r="S132" s="20"/>
      <c r="T132" s="20"/>
      <c r="U132" s="20"/>
    </row>
    <row r="137" spans="17:21" x14ac:dyDescent="0.2">
      <c r="Q137" s="20"/>
      <c r="R137" s="20"/>
      <c r="S137" s="20"/>
      <c r="T137" s="20"/>
      <c r="U137" s="20"/>
    </row>
    <row r="138" spans="17:21" x14ac:dyDescent="0.2">
      <c r="Q138" s="20"/>
      <c r="R138" s="20"/>
      <c r="S138" s="20"/>
      <c r="T138" s="20"/>
      <c r="U138" s="20"/>
    </row>
    <row r="142" spans="17:21" x14ac:dyDescent="0.2">
      <c r="Q142" s="20"/>
      <c r="R142" s="20"/>
      <c r="S142" s="20"/>
      <c r="T142" s="20"/>
      <c r="U142" s="20"/>
    </row>
    <row r="143" spans="17:21" x14ac:dyDescent="0.2">
      <c r="Q143" s="20"/>
      <c r="R143" s="20"/>
      <c r="S143" s="20"/>
      <c r="T143" s="20"/>
      <c r="U143" s="20"/>
    </row>
    <row r="145" spans="17:21" x14ac:dyDescent="0.2">
      <c r="Q145" s="20"/>
      <c r="R145" s="20"/>
      <c r="S145" s="20"/>
      <c r="T145" s="20"/>
      <c r="U145" s="20"/>
    </row>
    <row r="146" spans="17:21" x14ac:dyDescent="0.2">
      <c r="Q146" s="20"/>
      <c r="R146" s="20"/>
      <c r="S146" s="20"/>
      <c r="T146" s="20"/>
      <c r="U146" s="20"/>
    </row>
    <row r="149" spans="17:21" x14ac:dyDescent="0.2">
      <c r="Q149" s="20"/>
      <c r="R149" s="20"/>
      <c r="S149" s="20"/>
      <c r="T149" s="20"/>
      <c r="U149" s="20"/>
    </row>
    <row r="150" spans="17:21" x14ac:dyDescent="0.2">
      <c r="Q150" s="20"/>
      <c r="R150" s="20"/>
      <c r="S150" s="20"/>
      <c r="T150" s="20"/>
      <c r="U150" s="20"/>
    </row>
    <row r="151" spans="17:21" x14ac:dyDescent="0.2">
      <c r="Q151" s="20"/>
      <c r="R151" s="20"/>
      <c r="S151" s="20"/>
      <c r="T151" s="20"/>
      <c r="U151" s="20"/>
    </row>
    <row r="154" spans="17:21" x14ac:dyDescent="0.2">
      <c r="Q154" s="20"/>
      <c r="R154" s="20"/>
      <c r="S154" s="20"/>
      <c r="T154" s="20"/>
      <c r="U154" s="20"/>
    </row>
    <row r="156" spans="17:21" x14ac:dyDescent="0.2">
      <c r="Q156" s="20"/>
      <c r="R156" s="20"/>
      <c r="S156" s="20"/>
      <c r="T156" s="20"/>
      <c r="U156" s="20"/>
    </row>
    <row r="157" spans="17:21" x14ac:dyDescent="0.2">
      <c r="Q157" s="20"/>
      <c r="R157" s="20"/>
      <c r="S157" s="20"/>
      <c r="T157" s="20"/>
      <c r="U157" s="20"/>
    </row>
    <row r="158" spans="17:21" x14ac:dyDescent="0.2">
      <c r="Q158" s="20"/>
      <c r="R158" s="20"/>
      <c r="S158" s="20"/>
      <c r="T158" s="20"/>
      <c r="U158" s="20"/>
    </row>
    <row r="159" spans="17:21" x14ac:dyDescent="0.2">
      <c r="Q159" s="20"/>
      <c r="R159" s="20"/>
      <c r="S159" s="20"/>
      <c r="T159" s="20"/>
      <c r="U159" s="20"/>
    </row>
    <row r="160" spans="17:21" x14ac:dyDescent="0.2">
      <c r="Q160" s="20"/>
      <c r="R160" s="20"/>
      <c r="S160" s="20"/>
      <c r="T160" s="20"/>
      <c r="U160" s="20"/>
    </row>
    <row r="161" spans="17:21" x14ac:dyDescent="0.2">
      <c r="Q161" s="20"/>
      <c r="R161" s="20"/>
      <c r="S161" s="20"/>
      <c r="T161" s="20"/>
      <c r="U161" s="20"/>
    </row>
    <row r="163" spans="17:21" x14ac:dyDescent="0.2">
      <c r="Q163" s="20"/>
      <c r="R163" s="20"/>
      <c r="S163" s="20"/>
      <c r="T163" s="20"/>
      <c r="U163" s="20"/>
    </row>
    <row r="164" spans="17:21" x14ac:dyDescent="0.2">
      <c r="Q164" s="20"/>
      <c r="R164" s="20"/>
      <c r="S164" s="20"/>
      <c r="T164" s="20"/>
      <c r="U164" s="20"/>
    </row>
    <row r="165" spans="17:21" x14ac:dyDescent="0.2">
      <c r="Q165" s="20"/>
      <c r="R165" s="20"/>
      <c r="S165" s="20"/>
      <c r="T165" s="20"/>
      <c r="U165" s="20"/>
    </row>
    <row r="166" spans="17:21" x14ac:dyDescent="0.2">
      <c r="Q166" s="20"/>
      <c r="R166" s="20"/>
      <c r="S166" s="20"/>
      <c r="T166" s="20"/>
      <c r="U166" s="20"/>
    </row>
    <row r="167" spans="17:21" x14ac:dyDescent="0.2">
      <c r="Q167" s="20"/>
      <c r="R167" s="20"/>
      <c r="S167" s="20"/>
      <c r="T167" s="20"/>
      <c r="U167" s="20"/>
    </row>
    <row r="169" spans="17:21" x14ac:dyDescent="0.2">
      <c r="Q169" s="20"/>
      <c r="R169" s="20"/>
      <c r="S169" s="20"/>
      <c r="T169" s="20"/>
      <c r="U169" s="20"/>
    </row>
    <row r="171" spans="17:21" x14ac:dyDescent="0.2">
      <c r="Q171" s="20"/>
      <c r="R171" s="20"/>
      <c r="S171" s="20"/>
      <c r="T171" s="20"/>
      <c r="U171" s="20"/>
    </row>
    <row r="174" spans="17:21" x14ac:dyDescent="0.2">
      <c r="Q174" s="20"/>
      <c r="R174" s="20"/>
      <c r="S174" s="20"/>
      <c r="T174" s="20"/>
      <c r="U174" s="20"/>
    </row>
    <row r="178" spans="17:21" x14ac:dyDescent="0.2">
      <c r="Q178" s="20"/>
      <c r="R178" s="20"/>
      <c r="S178" s="20"/>
      <c r="T178" s="20"/>
      <c r="U178" s="20"/>
    </row>
    <row r="179" spans="17:21" x14ac:dyDescent="0.2">
      <c r="Q179" s="20"/>
      <c r="R179" s="20"/>
      <c r="S179" s="20"/>
      <c r="T179" s="20"/>
      <c r="U179" s="20"/>
    </row>
    <row r="181" spans="17:21" x14ac:dyDescent="0.2">
      <c r="Q181" s="20"/>
      <c r="R181" s="20"/>
      <c r="S181" s="20"/>
      <c r="T181" s="20"/>
      <c r="U181" s="20"/>
    </row>
    <row r="182" spans="17:21" x14ac:dyDescent="0.2">
      <c r="Q182" s="20"/>
      <c r="R182" s="20"/>
      <c r="S182" s="20"/>
      <c r="T182" s="20"/>
      <c r="U182" s="20"/>
    </row>
    <row r="186" spans="17:21" x14ac:dyDescent="0.2">
      <c r="Q186" s="20"/>
      <c r="R186" s="20"/>
      <c r="S186" s="20"/>
      <c r="T186" s="20"/>
      <c r="U186" s="20"/>
    </row>
    <row r="187" spans="17:21" x14ac:dyDescent="0.2">
      <c r="Q187" s="20"/>
      <c r="R187" s="20"/>
      <c r="S187" s="20"/>
      <c r="T187" s="20"/>
      <c r="U187" s="20"/>
    </row>
    <row r="188" spans="17:21" x14ac:dyDescent="0.2">
      <c r="Q188" s="20"/>
      <c r="R188" s="20"/>
      <c r="S188" s="20"/>
      <c r="T188" s="20"/>
      <c r="U188" s="20"/>
    </row>
    <row r="189" spans="17:21" x14ac:dyDescent="0.2">
      <c r="Q189" s="20"/>
      <c r="R189" s="20"/>
      <c r="S189" s="20"/>
      <c r="T189" s="20"/>
      <c r="U189" s="20"/>
    </row>
    <row r="190" spans="17:21" x14ac:dyDescent="0.2">
      <c r="Q190" s="20"/>
      <c r="R190" s="20"/>
      <c r="S190" s="20"/>
      <c r="T190" s="20"/>
      <c r="U190" s="20"/>
    </row>
    <row r="191" spans="17:21" x14ac:dyDescent="0.2">
      <c r="Q191" s="20"/>
      <c r="R191" s="20"/>
      <c r="S191" s="20"/>
      <c r="T191" s="20"/>
      <c r="U191" s="20"/>
    </row>
    <row r="193" spans="17:21" x14ac:dyDescent="0.2">
      <c r="Q193" s="20"/>
      <c r="R193" s="20"/>
      <c r="S193" s="20"/>
      <c r="T193" s="20"/>
      <c r="U193" s="20"/>
    </row>
    <row r="194" spans="17:21" x14ac:dyDescent="0.2">
      <c r="Q194" s="20"/>
      <c r="R194" s="20"/>
      <c r="S194" s="20"/>
      <c r="T194" s="20"/>
      <c r="U194" s="20"/>
    </row>
    <row r="195" spans="17:21" x14ac:dyDescent="0.2">
      <c r="Q195" s="20"/>
      <c r="R195" s="20"/>
      <c r="S195" s="20"/>
      <c r="T195" s="20"/>
      <c r="U195" s="20"/>
    </row>
    <row r="196" spans="17:21" x14ac:dyDescent="0.2">
      <c r="Q196" s="20"/>
      <c r="R196" s="20"/>
      <c r="S196" s="20"/>
      <c r="T196" s="20"/>
      <c r="U196" s="20"/>
    </row>
    <row r="197" spans="17:21" x14ac:dyDescent="0.2">
      <c r="Q197" s="20"/>
      <c r="R197" s="20"/>
      <c r="S197" s="20"/>
      <c r="T197" s="20"/>
      <c r="U197" s="20"/>
    </row>
    <row r="199" spans="17:21" x14ac:dyDescent="0.2">
      <c r="Q199" s="20"/>
      <c r="R199" s="20"/>
      <c r="S199" s="20"/>
      <c r="T199" s="20"/>
      <c r="U199" s="20"/>
    </row>
    <row r="200" spans="17:21" x14ac:dyDescent="0.2">
      <c r="Q200" s="20"/>
      <c r="R200" s="20"/>
      <c r="S200" s="20"/>
      <c r="T200" s="20"/>
      <c r="U200" s="20"/>
    </row>
    <row r="201" spans="17:21" x14ac:dyDescent="0.2">
      <c r="Q201" s="20"/>
      <c r="R201" s="20"/>
      <c r="S201" s="20"/>
      <c r="T201" s="20"/>
      <c r="U201" s="20"/>
    </row>
    <row r="202" spans="17:21" x14ac:dyDescent="0.2">
      <c r="Q202" s="20"/>
      <c r="R202" s="20"/>
      <c r="S202" s="20"/>
      <c r="T202" s="20"/>
      <c r="U202" s="20"/>
    </row>
    <row r="203" spans="17:21" x14ac:dyDescent="0.2">
      <c r="Q203" s="20"/>
      <c r="R203" s="20"/>
      <c r="S203" s="20"/>
      <c r="T203" s="20"/>
      <c r="U203" s="20"/>
    </row>
    <row r="204" spans="17:21" x14ac:dyDescent="0.2">
      <c r="Q204" s="20"/>
      <c r="R204" s="20"/>
      <c r="S204" s="20"/>
      <c r="T204" s="20"/>
      <c r="U204" s="20"/>
    </row>
    <row r="205" spans="17:21" x14ac:dyDescent="0.2">
      <c r="Q205" s="20"/>
      <c r="R205" s="20"/>
      <c r="S205" s="20"/>
      <c r="T205" s="20"/>
      <c r="U205" s="20"/>
    </row>
    <row r="206" spans="17:21" x14ac:dyDescent="0.2">
      <c r="Q206" s="20"/>
      <c r="R206" s="20"/>
      <c r="S206" s="20"/>
      <c r="T206" s="20"/>
      <c r="U206" s="20"/>
    </row>
    <row r="207" spans="17:21" x14ac:dyDescent="0.2">
      <c r="Q207" s="20"/>
      <c r="R207" s="20"/>
      <c r="S207" s="20"/>
      <c r="T207" s="20"/>
      <c r="U207" s="20"/>
    </row>
    <row r="210" spans="17:21" x14ac:dyDescent="0.2">
      <c r="Q210" s="20"/>
      <c r="R210" s="20"/>
      <c r="S210" s="20"/>
      <c r="T210" s="20"/>
      <c r="U210" s="20"/>
    </row>
    <row r="211" spans="17:21" x14ac:dyDescent="0.2">
      <c r="Q211" s="20"/>
      <c r="R211" s="20"/>
      <c r="S211" s="20"/>
      <c r="T211" s="20"/>
      <c r="U211" s="20"/>
    </row>
    <row r="212" spans="17:21" x14ac:dyDescent="0.2">
      <c r="Q212" s="20"/>
      <c r="R212" s="20"/>
      <c r="S212" s="20"/>
      <c r="T212" s="20"/>
      <c r="U212" s="20"/>
    </row>
    <row r="213" spans="17:21" x14ac:dyDescent="0.2">
      <c r="Q213" s="20"/>
      <c r="R213" s="20"/>
      <c r="S213" s="20"/>
      <c r="T213" s="20"/>
      <c r="U213" s="20"/>
    </row>
    <row r="215" spans="17:21" x14ac:dyDescent="0.2">
      <c r="Q215" s="20"/>
      <c r="R215" s="20"/>
      <c r="S215" s="20"/>
      <c r="T215" s="20"/>
      <c r="U215" s="20"/>
    </row>
    <row r="216" spans="17:21" x14ac:dyDescent="0.2">
      <c r="Q216" s="20"/>
      <c r="R216" s="20"/>
      <c r="S216" s="20"/>
      <c r="T216" s="20"/>
      <c r="U216" s="20"/>
    </row>
    <row r="218" spans="17:21" x14ac:dyDescent="0.2">
      <c r="Q218" s="20"/>
      <c r="R218" s="20"/>
      <c r="S218" s="20"/>
      <c r="T218" s="20"/>
      <c r="U218" s="20"/>
    </row>
    <row r="223" spans="17:21" x14ac:dyDescent="0.2">
      <c r="Q223" s="20"/>
      <c r="R223" s="20"/>
      <c r="S223" s="20"/>
      <c r="T223" s="20"/>
      <c r="U223" s="20"/>
    </row>
    <row r="224" spans="17:21" x14ac:dyDescent="0.2">
      <c r="Q224" s="20"/>
      <c r="R224" s="20"/>
      <c r="S224" s="20"/>
      <c r="T224" s="20"/>
      <c r="U224" s="20"/>
    </row>
    <row r="225" spans="17:21" x14ac:dyDescent="0.2">
      <c r="Q225" s="20"/>
      <c r="R225" s="20"/>
      <c r="S225" s="20"/>
      <c r="T225" s="20"/>
      <c r="U225" s="20"/>
    </row>
    <row r="227" spans="17:21" x14ac:dyDescent="0.2">
      <c r="Q227" s="20"/>
      <c r="R227" s="20"/>
      <c r="S227" s="20"/>
      <c r="T227" s="20"/>
      <c r="U227" s="20"/>
    </row>
    <row r="229" spans="17:21" x14ac:dyDescent="0.2">
      <c r="Q229" s="20"/>
      <c r="R229" s="20"/>
      <c r="S229" s="20"/>
      <c r="T229" s="20"/>
      <c r="U229" s="20"/>
    </row>
    <row r="230" spans="17:21" x14ac:dyDescent="0.2">
      <c r="Q230" s="20"/>
      <c r="R230" s="20"/>
      <c r="S230" s="20"/>
      <c r="T230" s="20"/>
      <c r="U230" s="20"/>
    </row>
    <row r="237" spans="17:21" x14ac:dyDescent="0.2">
      <c r="Q237" s="20"/>
      <c r="R237" s="20"/>
      <c r="S237" s="20"/>
      <c r="T237" s="20"/>
      <c r="U237" s="20"/>
    </row>
    <row r="238" spans="17:21" x14ac:dyDescent="0.2">
      <c r="Q238" s="20"/>
      <c r="R238" s="20"/>
      <c r="S238" s="20"/>
      <c r="T238" s="20"/>
      <c r="U238" s="20"/>
    </row>
    <row r="240" spans="17:21" x14ac:dyDescent="0.2">
      <c r="Q240" s="20"/>
      <c r="R240" s="20"/>
      <c r="S240" s="20"/>
      <c r="T240" s="20"/>
      <c r="U240" s="20"/>
    </row>
    <row r="242" spans="17:21" x14ac:dyDescent="0.2">
      <c r="Q242" s="20"/>
      <c r="R242" s="20"/>
      <c r="S242" s="20"/>
      <c r="T242" s="20"/>
      <c r="U242" s="20"/>
    </row>
    <row r="243" spans="17:21" x14ac:dyDescent="0.2">
      <c r="Q243" s="20"/>
      <c r="R243" s="20"/>
      <c r="S243" s="20"/>
      <c r="T243" s="20"/>
      <c r="U243" s="20"/>
    </row>
    <row r="246" spans="17:21" x14ac:dyDescent="0.2">
      <c r="Q246" s="20"/>
      <c r="R246" s="20"/>
      <c r="S246" s="20"/>
      <c r="T246" s="20"/>
      <c r="U246" s="20"/>
    </row>
    <row r="249" spans="17:21" x14ac:dyDescent="0.2">
      <c r="Q249" s="20"/>
      <c r="R249" s="20"/>
      <c r="S249" s="20"/>
      <c r="T249" s="20"/>
      <c r="U249" s="20"/>
    </row>
    <row r="253" spans="17:21" x14ac:dyDescent="0.2">
      <c r="Q253" s="20"/>
      <c r="R253" s="20"/>
      <c r="S253" s="20"/>
      <c r="T253" s="20"/>
      <c r="U253" s="20"/>
    </row>
    <row r="254" spans="17:21" x14ac:dyDescent="0.2">
      <c r="Q254" s="20"/>
      <c r="R254" s="20"/>
      <c r="S254" s="20"/>
      <c r="T254" s="20"/>
      <c r="U254" s="20"/>
    </row>
    <row r="256" spans="17:21" x14ac:dyDescent="0.2">
      <c r="Q256" s="20"/>
      <c r="R256" s="20"/>
      <c r="S256" s="20"/>
      <c r="T256" s="20"/>
      <c r="U256" s="20"/>
    </row>
    <row r="257" spans="17:21" x14ac:dyDescent="0.2">
      <c r="Q257" s="20"/>
      <c r="R257" s="20"/>
      <c r="S257" s="20"/>
      <c r="T257" s="20"/>
      <c r="U257" s="20"/>
    </row>
    <row r="261" spans="17:21" x14ac:dyDescent="0.2">
      <c r="Q261" s="20"/>
      <c r="R261" s="20"/>
      <c r="S261" s="20"/>
      <c r="T261" s="20"/>
      <c r="U261" s="20"/>
    </row>
    <row r="263" spans="17:21" x14ac:dyDescent="0.2">
      <c r="Q263" s="20"/>
      <c r="R263" s="20"/>
      <c r="S263" s="20"/>
      <c r="T263" s="20"/>
      <c r="U263" s="20"/>
    </row>
    <row r="265" spans="17:21" x14ac:dyDescent="0.2">
      <c r="Q265" s="20"/>
      <c r="R265" s="20"/>
      <c r="S265" s="20"/>
      <c r="T265" s="20"/>
      <c r="U265" s="20"/>
    </row>
    <row r="270" spans="17:21" x14ac:dyDescent="0.2">
      <c r="Q270" s="20"/>
      <c r="R270" s="20"/>
      <c r="S270" s="20"/>
      <c r="T270" s="20"/>
      <c r="U270" s="20"/>
    </row>
    <row r="271" spans="17:21" x14ac:dyDescent="0.2">
      <c r="Q271" s="20"/>
      <c r="R271" s="20"/>
      <c r="S271" s="20"/>
      <c r="T271" s="20"/>
      <c r="U271" s="20"/>
    </row>
    <row r="272" spans="17:21" x14ac:dyDescent="0.2">
      <c r="Q272" s="20"/>
      <c r="R272" s="20"/>
      <c r="S272" s="20"/>
      <c r="T272" s="20"/>
      <c r="U272" s="20"/>
    </row>
    <row r="274" spans="17:21" x14ac:dyDescent="0.2">
      <c r="Q274" s="20"/>
      <c r="R274" s="20"/>
      <c r="S274" s="20"/>
      <c r="T274" s="20"/>
      <c r="U274" s="20"/>
    </row>
    <row r="275" spans="17:21" x14ac:dyDescent="0.2">
      <c r="Q275" s="20"/>
      <c r="R275" s="20"/>
      <c r="S275" s="20"/>
      <c r="T275" s="20"/>
      <c r="U275" s="20"/>
    </row>
    <row r="277" spans="17:21" x14ac:dyDescent="0.2">
      <c r="Q277" s="20"/>
      <c r="R277" s="20"/>
      <c r="S277" s="20"/>
      <c r="T277" s="20"/>
      <c r="U277" s="20"/>
    </row>
    <row r="281" spans="17:21" x14ac:dyDescent="0.2">
      <c r="Q281" s="20"/>
      <c r="R281" s="20"/>
      <c r="S281" s="20"/>
      <c r="T281" s="20"/>
      <c r="U281" s="20"/>
    </row>
    <row r="284" spans="17:21" x14ac:dyDescent="0.2">
      <c r="Q284" s="20"/>
      <c r="R284" s="20"/>
      <c r="S284" s="20"/>
      <c r="T284" s="20"/>
      <c r="U284" s="20"/>
    </row>
    <row r="285" spans="17:21" x14ac:dyDescent="0.2">
      <c r="Q285" s="20"/>
      <c r="R285" s="20"/>
      <c r="S285" s="20"/>
      <c r="T285" s="20"/>
      <c r="U285" s="20"/>
    </row>
    <row r="288" spans="17:21" x14ac:dyDescent="0.2">
      <c r="Q288" s="20"/>
      <c r="R288" s="20"/>
      <c r="S288" s="20"/>
      <c r="T288" s="20"/>
      <c r="U288" s="20"/>
    </row>
    <row r="289" spans="17:21" x14ac:dyDescent="0.2">
      <c r="Q289" s="20"/>
      <c r="R289" s="20"/>
      <c r="S289" s="20"/>
      <c r="T289" s="20"/>
      <c r="U289" s="20"/>
    </row>
    <row r="291" spans="17:21" x14ac:dyDescent="0.2">
      <c r="Q291" s="20"/>
      <c r="R291" s="20"/>
      <c r="S291" s="20"/>
      <c r="T291" s="20"/>
      <c r="U291" s="20"/>
    </row>
    <row r="292" spans="17:21" x14ac:dyDescent="0.2">
      <c r="Q292" s="20"/>
      <c r="R292" s="20"/>
      <c r="S292" s="20"/>
      <c r="T292" s="20"/>
      <c r="U292" s="20"/>
    </row>
    <row r="293" spans="17:21" x14ac:dyDescent="0.2">
      <c r="Q293" s="20"/>
      <c r="R293" s="20"/>
      <c r="S293" s="20"/>
      <c r="T293" s="20"/>
      <c r="U293" s="20"/>
    </row>
    <row r="295" spans="17:21" x14ac:dyDescent="0.2">
      <c r="Q295" s="20"/>
      <c r="R295" s="20"/>
      <c r="S295" s="20"/>
      <c r="T295" s="20"/>
      <c r="U295" s="20"/>
    </row>
    <row r="298" spans="17:21" x14ac:dyDescent="0.2">
      <c r="Q298" s="20"/>
      <c r="R298" s="20"/>
      <c r="S298" s="20"/>
      <c r="T298" s="20"/>
      <c r="U298" s="20"/>
    </row>
    <row r="300" spans="17:21" x14ac:dyDescent="0.2">
      <c r="Q300" s="20"/>
      <c r="R300" s="20"/>
      <c r="S300" s="20"/>
      <c r="T300" s="20"/>
      <c r="U300" s="20"/>
    </row>
    <row r="302" spans="17:21" x14ac:dyDescent="0.2">
      <c r="Q302" s="20"/>
      <c r="R302" s="20"/>
      <c r="S302" s="20"/>
      <c r="T302" s="20"/>
      <c r="U302" s="20"/>
    </row>
    <row r="303" spans="17:21" x14ac:dyDescent="0.2">
      <c r="Q303" s="20"/>
      <c r="R303" s="20"/>
      <c r="S303" s="20"/>
      <c r="T303" s="20"/>
      <c r="U303" s="20"/>
    </row>
    <row r="305" spans="17:21" x14ac:dyDescent="0.2">
      <c r="Q305" s="20"/>
      <c r="R305" s="20"/>
      <c r="S305" s="20"/>
      <c r="T305" s="20"/>
      <c r="U305" s="20"/>
    </row>
    <row r="306" spans="17:21" x14ac:dyDescent="0.2">
      <c r="Q306" s="20"/>
      <c r="R306" s="20"/>
      <c r="S306" s="20"/>
      <c r="T306" s="20"/>
      <c r="U306" s="20"/>
    </row>
    <row r="307" spans="17:21" x14ac:dyDescent="0.2">
      <c r="Q307" s="20"/>
      <c r="R307" s="20"/>
      <c r="S307" s="20"/>
      <c r="T307" s="20"/>
      <c r="U307" s="20"/>
    </row>
    <row r="310" spans="17:21" x14ac:dyDescent="0.2">
      <c r="Q310" s="20"/>
      <c r="R310" s="20"/>
      <c r="S310" s="20"/>
      <c r="T310" s="20"/>
      <c r="U310" s="20"/>
    </row>
    <row r="312" spans="17:21" x14ac:dyDescent="0.2">
      <c r="Q312" s="20"/>
      <c r="R312" s="20"/>
      <c r="S312" s="20"/>
      <c r="T312" s="20"/>
      <c r="U312" s="20"/>
    </row>
    <row r="320" spans="17:21" x14ac:dyDescent="0.2">
      <c r="Q320" s="20"/>
      <c r="R320" s="20"/>
      <c r="S320" s="20"/>
      <c r="T320" s="20"/>
      <c r="U320" s="20"/>
    </row>
    <row r="321" spans="17:21" x14ac:dyDescent="0.2">
      <c r="Q321" s="20"/>
      <c r="R321" s="20"/>
      <c r="S321" s="20"/>
      <c r="T321" s="20"/>
      <c r="U321" s="20"/>
    </row>
    <row r="323" spans="17:21" x14ac:dyDescent="0.2">
      <c r="Q323" s="20"/>
      <c r="R323" s="20"/>
      <c r="S323" s="20"/>
      <c r="T323" s="20"/>
      <c r="U323" s="20"/>
    </row>
    <row r="324" spans="17:21" x14ac:dyDescent="0.2">
      <c r="Q324" s="20"/>
      <c r="R324" s="20"/>
      <c r="S324" s="20"/>
      <c r="T324" s="20"/>
      <c r="U324" s="20"/>
    </row>
    <row r="326" spans="17:21" x14ac:dyDescent="0.2">
      <c r="Q326" s="20"/>
      <c r="R326" s="20"/>
      <c r="S326" s="20"/>
      <c r="T326" s="20"/>
      <c r="U326" s="20"/>
    </row>
    <row r="328" spans="17:21" x14ac:dyDescent="0.2">
      <c r="Q328" s="20"/>
      <c r="R328" s="20"/>
      <c r="S328" s="20"/>
      <c r="T328" s="20"/>
      <c r="U328" s="20"/>
    </row>
    <row r="330" spans="17:21" x14ac:dyDescent="0.2">
      <c r="Q330" s="20"/>
      <c r="R330" s="20"/>
      <c r="S330" s="20"/>
      <c r="T330" s="20"/>
      <c r="U330" s="20"/>
    </row>
    <row r="333" spans="17:21" x14ac:dyDescent="0.2">
      <c r="Q333" s="20"/>
      <c r="R333" s="20"/>
      <c r="S333" s="20"/>
      <c r="T333" s="20"/>
      <c r="U333" s="20"/>
    </row>
    <row r="334" spans="17:21" x14ac:dyDescent="0.2">
      <c r="Q334" s="20"/>
      <c r="R334" s="20"/>
      <c r="S334" s="20"/>
      <c r="T334" s="20"/>
      <c r="U334" s="20"/>
    </row>
    <row r="335" spans="17:21" x14ac:dyDescent="0.2">
      <c r="Q335" s="20"/>
      <c r="R335" s="20"/>
      <c r="S335" s="20"/>
      <c r="T335" s="20"/>
      <c r="U335" s="20"/>
    </row>
    <row r="338" spans="17:21" x14ac:dyDescent="0.2">
      <c r="Q338" s="20"/>
      <c r="R338" s="20"/>
      <c r="S338" s="20"/>
      <c r="T338" s="20"/>
      <c r="U338" s="20"/>
    </row>
    <row r="341" spans="17:21" x14ac:dyDescent="0.2">
      <c r="Q341" s="20"/>
      <c r="R341" s="20"/>
      <c r="S341" s="20"/>
      <c r="T341" s="20"/>
      <c r="U341" s="20"/>
    </row>
    <row r="344" spans="17:21" x14ac:dyDescent="0.2">
      <c r="Q344" s="20"/>
      <c r="R344" s="20"/>
      <c r="S344" s="20"/>
      <c r="T344" s="20"/>
      <c r="U344" s="20"/>
    </row>
    <row r="347" spans="17:21" x14ac:dyDescent="0.2">
      <c r="Q347" s="20"/>
      <c r="R347" s="20"/>
      <c r="S347" s="20"/>
      <c r="T347" s="20"/>
      <c r="U347" s="20"/>
    </row>
    <row r="351" spans="17:21" x14ac:dyDescent="0.2">
      <c r="Q351" s="20"/>
      <c r="R351" s="20"/>
      <c r="S351" s="20"/>
      <c r="T351" s="20"/>
      <c r="U351" s="20"/>
    </row>
    <row r="352" spans="17:21" x14ac:dyDescent="0.2">
      <c r="Q352" s="20"/>
      <c r="R352" s="20"/>
      <c r="S352" s="20"/>
      <c r="T352" s="20"/>
      <c r="U352" s="20"/>
    </row>
    <row r="354" spans="17:21" x14ac:dyDescent="0.2">
      <c r="Q354" s="20"/>
      <c r="R354" s="20"/>
      <c r="S354" s="20"/>
      <c r="T354" s="20"/>
      <c r="U354" s="20"/>
    </row>
    <row r="355" spans="17:21" x14ac:dyDescent="0.2">
      <c r="Q355" s="20"/>
      <c r="R355" s="20"/>
      <c r="S355" s="20"/>
      <c r="T355" s="20"/>
      <c r="U355" s="20"/>
    </row>
    <row r="356" spans="17:21" x14ac:dyDescent="0.2">
      <c r="Q356" s="20"/>
      <c r="R356" s="20"/>
      <c r="S356" s="20"/>
      <c r="T356" s="20"/>
      <c r="U356" s="20"/>
    </row>
    <row r="359" spans="17:21" x14ac:dyDescent="0.2">
      <c r="Q359" s="20"/>
      <c r="R359" s="20"/>
      <c r="S359" s="20"/>
      <c r="T359" s="20"/>
      <c r="U359" s="20"/>
    </row>
    <row r="361" spans="17:21" x14ac:dyDescent="0.2">
      <c r="Q361" s="20"/>
      <c r="R361" s="20"/>
      <c r="S361" s="20"/>
      <c r="T361" s="20"/>
      <c r="U361" s="20"/>
    </row>
    <row r="363" spans="17:21" x14ac:dyDescent="0.2">
      <c r="Q363" s="20"/>
      <c r="R363" s="20"/>
      <c r="S363" s="20"/>
      <c r="T363" s="20"/>
      <c r="U363" s="20"/>
    </row>
    <row r="368" spans="17:21" x14ac:dyDescent="0.2">
      <c r="Q368" s="20"/>
      <c r="R368" s="20"/>
      <c r="S368" s="20"/>
      <c r="T368" s="20"/>
      <c r="U368" s="20"/>
    </row>
    <row r="369" spans="17:21" x14ac:dyDescent="0.2">
      <c r="Q369" s="20"/>
      <c r="R369" s="20"/>
      <c r="S369" s="20"/>
      <c r="T369" s="20"/>
      <c r="U369" s="20"/>
    </row>
  </sheetData>
  <sortState xmlns:xlrd2="http://schemas.microsoft.com/office/spreadsheetml/2017/richdata2" ref="D2:K16">
    <sortCondition ref="D2:D16"/>
    <sortCondition ref="E2:E16"/>
  </sortState>
  <dataValidations count="1">
    <dataValidation type="list" allowBlank="1" showInputMessage="1" showErrorMessage="1" sqref="B3" xr:uid="{1601F5EF-94F4-40C0-9345-5B4EE928441F}">
      <formula1>"Taxa de Atendimento,Tempo de Execução,Custo,TR-Médio"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rarResumo">
                <anchor mov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1</xdr:col>
                    <xdr:colOff>1571625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668F-F0F8-45D8-9A06-6BBF7D2F050A}">
  <sheetPr codeName="Planilha5"/>
  <dimension ref="A1:AH205"/>
  <sheetViews>
    <sheetView tabSelected="1" topLeftCell="R55" zoomScale="200" zoomScaleNormal="200" workbookViewId="0">
      <selection activeCell="AD68" sqref="AD68"/>
    </sheetView>
  </sheetViews>
  <sheetFormatPr defaultColWidth="10.1640625" defaultRowHeight="12.75" x14ac:dyDescent="0.2"/>
  <cols>
    <col min="1" max="1" width="8.5" style="31" bestFit="1" customWidth="1"/>
    <col min="2" max="2" width="21.1640625" style="31" bestFit="1" customWidth="1"/>
    <col min="3" max="3" width="3.33203125" style="31" bestFit="1" customWidth="1"/>
    <col min="4" max="4" width="19.1640625" style="44" bestFit="1" customWidth="1"/>
    <col min="5" max="5" width="16.83203125" style="44" bestFit="1" customWidth="1"/>
    <col min="6" max="6" width="15.6640625" style="31" bestFit="1" customWidth="1"/>
    <col min="7" max="8" width="19.1640625" style="31" bestFit="1" customWidth="1"/>
    <col min="9" max="9" width="2.33203125" style="31" bestFit="1" customWidth="1"/>
    <col min="10" max="10" width="11.1640625" style="23" bestFit="1" customWidth="1"/>
    <col min="11" max="13" width="20.5" style="31" bestFit="1" customWidth="1"/>
    <col min="14" max="19" width="16.83203125" style="31" bestFit="1" customWidth="1"/>
    <col min="20" max="22" width="20.5" style="31" bestFit="1" customWidth="1"/>
    <col min="23" max="23" width="2.33203125" style="31" bestFit="1" customWidth="1"/>
    <col min="24" max="34" width="10.83203125" style="31" customWidth="1"/>
    <col min="35" max="16384" width="10.1640625" style="31"/>
  </cols>
  <sheetData>
    <row r="1" spans="1:34" s="23" customFormat="1" ht="13.5" thickBot="1" x14ac:dyDescent="0.25">
      <c r="A1" s="72"/>
      <c r="B1" s="71"/>
      <c r="C1" s="71"/>
      <c r="D1" s="71"/>
      <c r="E1" s="71"/>
      <c r="F1" s="71"/>
      <c r="G1" s="71"/>
      <c r="H1" s="71"/>
      <c r="I1" s="71"/>
      <c r="J1" s="71" t="s">
        <v>37</v>
      </c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3"/>
    </row>
    <row r="2" spans="1:34" s="23" customFormat="1" ht="13.5" thickBot="1" x14ac:dyDescent="0.25">
      <c r="A2" s="48" t="s">
        <v>16</v>
      </c>
      <c r="B2" s="48" t="s">
        <v>41</v>
      </c>
      <c r="C2" s="48" t="s">
        <v>3</v>
      </c>
      <c r="D2" s="48" t="s">
        <v>43</v>
      </c>
      <c r="E2" s="48" t="s">
        <v>44</v>
      </c>
      <c r="F2" s="49" t="s">
        <v>45</v>
      </c>
      <c r="G2" s="49" t="s">
        <v>46</v>
      </c>
      <c r="H2" s="49" t="s">
        <v>47</v>
      </c>
      <c r="I2" s="21"/>
      <c r="J2" s="21" t="s">
        <v>12</v>
      </c>
      <c r="K2" s="21">
        <v>1000</v>
      </c>
      <c r="L2" s="21">
        <v>3000</v>
      </c>
      <c r="M2" s="21">
        <v>5000</v>
      </c>
      <c r="N2" s="68">
        <f>K$2</f>
        <v>1000</v>
      </c>
      <c r="O2" s="68">
        <f t="shared" ref="O2:P2" si="0">L$2</f>
        <v>3000</v>
      </c>
      <c r="P2" s="68">
        <f t="shared" si="0"/>
        <v>5000</v>
      </c>
      <c r="Q2" s="69">
        <f>K$2</f>
        <v>1000</v>
      </c>
      <c r="R2" s="69">
        <f t="shared" ref="R2:S2" si="1">L$2</f>
        <v>3000</v>
      </c>
      <c r="S2" s="69">
        <f t="shared" si="1"/>
        <v>5000</v>
      </c>
      <c r="T2" s="70">
        <f>K$2</f>
        <v>1000</v>
      </c>
      <c r="U2" s="70">
        <f>L$2</f>
        <v>3000</v>
      </c>
      <c r="V2" s="70">
        <f>M$2</f>
        <v>5000</v>
      </c>
      <c r="W2" s="25"/>
      <c r="X2" s="18"/>
      <c r="Y2" s="19"/>
      <c r="Z2" s="19"/>
      <c r="AA2" s="19"/>
      <c r="AB2" s="19"/>
      <c r="AC2" s="21"/>
      <c r="AD2" s="21"/>
      <c r="AE2" s="21"/>
      <c r="AF2" s="21"/>
      <c r="AG2" s="21"/>
      <c r="AH2" s="22"/>
    </row>
    <row r="3" spans="1:34" x14ac:dyDescent="0.2">
      <c r="A3" s="62">
        <v>21052</v>
      </c>
      <c r="B3" s="62" t="s">
        <v>8</v>
      </c>
      <c r="C3" s="63">
        <v>1</v>
      </c>
      <c r="D3" s="64">
        <v>0.48184390601960131</v>
      </c>
      <c r="E3" s="64">
        <v>0</v>
      </c>
      <c r="F3" s="64">
        <v>0</v>
      </c>
      <c r="G3" s="64">
        <v>0.48184390601960131</v>
      </c>
      <c r="H3" s="64">
        <v>0.48184390601960131</v>
      </c>
      <c r="I3" s="32"/>
      <c r="J3" s="24"/>
      <c r="K3" s="32"/>
      <c r="L3" s="32"/>
      <c r="M3" s="32"/>
      <c r="N3" s="32"/>
      <c r="O3" s="32"/>
      <c r="P3" s="32"/>
      <c r="Q3" s="32"/>
      <c r="R3" s="32"/>
      <c r="S3" s="32"/>
      <c r="T3" s="53">
        <f>$D$3</f>
        <v>0.48184390601960131</v>
      </c>
      <c r="U3" s="53">
        <f>$D$8</f>
        <v>0.47955714845645808</v>
      </c>
      <c r="V3" s="53">
        <f>$D$13</f>
        <v>0.48377120660101286</v>
      </c>
      <c r="W3" s="33"/>
      <c r="X3" s="34"/>
      <c r="Y3" s="35"/>
      <c r="Z3" s="35"/>
      <c r="AA3" s="35"/>
      <c r="AB3" s="35"/>
      <c r="AC3" s="32"/>
      <c r="AD3" s="32"/>
      <c r="AE3" s="32"/>
      <c r="AF3" s="32"/>
      <c r="AG3" s="32"/>
      <c r="AH3" s="33"/>
    </row>
    <row r="4" spans="1:34" x14ac:dyDescent="0.2">
      <c r="A4" s="62">
        <v>21052</v>
      </c>
      <c r="B4" s="62" t="s">
        <v>5</v>
      </c>
      <c r="C4" s="63">
        <v>1</v>
      </c>
      <c r="D4" s="64">
        <v>0.56055216415949483</v>
      </c>
      <c r="E4" s="64">
        <v>0</v>
      </c>
      <c r="F4" s="64">
        <v>0</v>
      </c>
      <c r="G4" s="64">
        <v>0.56055216415949483</v>
      </c>
      <c r="H4" s="64">
        <v>0.56055216415949483</v>
      </c>
      <c r="I4" s="32"/>
      <c r="J4" s="24" t="s">
        <v>0</v>
      </c>
      <c r="K4" s="53">
        <f>$D4</f>
        <v>0.56055216415949483</v>
      </c>
      <c r="L4" s="53">
        <f>$D9</f>
        <v>0.560483849077827</v>
      </c>
      <c r="M4" s="53">
        <f>$D14</f>
        <v>0.56378002706971431</v>
      </c>
      <c r="N4" s="54">
        <f>$D4-$G4</f>
        <v>0</v>
      </c>
      <c r="O4" s="54">
        <f>$D9-$G9</f>
        <v>0</v>
      </c>
      <c r="P4" s="54">
        <f>$D14-$G14</f>
        <v>0</v>
      </c>
      <c r="Q4" s="54">
        <f>-$D4+$H4</f>
        <v>0</v>
      </c>
      <c r="R4" s="54">
        <f>-$D9+$H9</f>
        <v>0</v>
      </c>
      <c r="S4" s="54">
        <f>-$D14+$H14</f>
        <v>0</v>
      </c>
      <c r="T4" s="53">
        <f t="shared" ref="T4:T8" si="2">$D$3</f>
        <v>0.48184390601960131</v>
      </c>
      <c r="U4" s="53">
        <f t="shared" ref="U4:U8" si="3">$D$8</f>
        <v>0.47955714845645808</v>
      </c>
      <c r="V4" s="53">
        <f t="shared" ref="V4:V8" si="4">$D$13</f>
        <v>0.48377120660101286</v>
      </c>
      <c r="W4" s="33"/>
      <c r="X4" s="34"/>
      <c r="Y4" s="35"/>
      <c r="Z4" s="35"/>
      <c r="AA4" s="35"/>
      <c r="AB4" s="35"/>
      <c r="AC4" s="32"/>
      <c r="AD4" s="32"/>
      <c r="AE4" s="32"/>
      <c r="AF4" s="32"/>
      <c r="AG4" s="32"/>
      <c r="AH4" s="33"/>
    </row>
    <row r="5" spans="1:34" x14ac:dyDescent="0.2">
      <c r="A5" s="62">
        <v>21052</v>
      </c>
      <c r="B5" s="62" t="s">
        <v>9</v>
      </c>
      <c r="C5" s="63">
        <v>35</v>
      </c>
      <c r="D5" s="64">
        <v>0.40604628162041206</v>
      </c>
      <c r="E5" s="64">
        <v>2.1429975571437281E-3</v>
      </c>
      <c r="F5" s="64">
        <v>3.6223270065856782E-4</v>
      </c>
      <c r="G5" s="64">
        <v>0.40505796796036642</v>
      </c>
      <c r="H5" s="64">
        <v>0.40703459528045771</v>
      </c>
      <c r="I5" s="32"/>
      <c r="J5" s="24" t="s">
        <v>14</v>
      </c>
      <c r="K5" s="53">
        <f t="shared" ref="K5:K7" si="5">$D5</f>
        <v>0.40604628162041206</v>
      </c>
      <c r="L5" s="53">
        <f t="shared" ref="L5:L7" si="6">$D10</f>
        <v>0.40566092315490554</v>
      </c>
      <c r="M5" s="53">
        <f t="shared" ref="M5:M7" si="7">$D15</f>
        <v>0.40708585928652291</v>
      </c>
      <c r="N5" s="54">
        <f t="shared" ref="N5:N7" si="8">$D5-$G5</f>
        <v>9.8831366004564769E-4</v>
      </c>
      <c r="O5" s="54">
        <f t="shared" ref="O5:O7" si="9">$D10-$G10</f>
        <v>6.2255203102873358E-4</v>
      </c>
      <c r="P5" s="54">
        <f t="shared" ref="P5:P7" si="10">$D15-$G15</f>
        <v>4.2567246304470174E-4</v>
      </c>
      <c r="Q5" s="54">
        <f t="shared" ref="Q5:Q7" si="11">-$D5+$H5</f>
        <v>9.8831366004564769E-4</v>
      </c>
      <c r="R5" s="54">
        <f t="shared" ref="R5:R7" si="12">-$D10+$H10</f>
        <v>6.2255203102873358E-4</v>
      </c>
      <c r="S5" s="54">
        <f t="shared" ref="S5:S7" si="13">-$D15+$H15</f>
        <v>4.2567246304470174E-4</v>
      </c>
      <c r="T5" s="53">
        <f t="shared" si="2"/>
        <v>0.48184390601960131</v>
      </c>
      <c r="U5" s="53">
        <f t="shared" si="3"/>
        <v>0.47955714845645808</v>
      </c>
      <c r="V5" s="53">
        <f t="shared" si="4"/>
        <v>0.48377120660101286</v>
      </c>
      <c r="W5" s="33"/>
      <c r="X5" s="34"/>
      <c r="Y5" s="35"/>
      <c r="Z5" s="35"/>
      <c r="AA5" s="35"/>
      <c r="AB5" s="35"/>
      <c r="AC5" s="32"/>
      <c r="AD5" s="32"/>
      <c r="AE5" s="32"/>
      <c r="AF5" s="32"/>
      <c r="AG5" s="32"/>
      <c r="AH5" s="33"/>
    </row>
    <row r="6" spans="1:34" x14ac:dyDescent="0.2">
      <c r="A6" s="62">
        <v>21052</v>
      </c>
      <c r="B6" s="62" t="s">
        <v>10</v>
      </c>
      <c r="C6" s="63">
        <v>35</v>
      </c>
      <c r="D6" s="64">
        <v>0.56470116676640758</v>
      </c>
      <c r="E6" s="64">
        <v>2.2220750498418216E-3</v>
      </c>
      <c r="F6" s="64">
        <v>3.7559923653997923E-4</v>
      </c>
      <c r="G6" s="64">
        <v>0.56367638392515584</v>
      </c>
      <c r="H6" s="64">
        <v>0.56572594960765932</v>
      </c>
      <c r="I6" s="32"/>
      <c r="J6" s="24" t="s">
        <v>1</v>
      </c>
      <c r="K6" s="53">
        <f t="shared" si="5"/>
        <v>0.56470116676640758</v>
      </c>
      <c r="L6" s="53">
        <f t="shared" si="6"/>
        <v>0.56310640699700354</v>
      </c>
      <c r="M6" s="53">
        <f t="shared" si="7"/>
        <v>0.56655127432805996</v>
      </c>
      <c r="N6" s="54">
        <f t="shared" si="8"/>
        <v>1.0247828412517368E-3</v>
      </c>
      <c r="O6" s="54">
        <f t="shared" si="9"/>
        <v>5.1137397257794426E-4</v>
      </c>
      <c r="P6" s="54">
        <f t="shared" si="10"/>
        <v>4.0676137379025423E-4</v>
      </c>
      <c r="Q6" s="54">
        <f t="shared" si="11"/>
        <v>1.0247828412517368E-3</v>
      </c>
      <c r="R6" s="54">
        <f t="shared" si="12"/>
        <v>5.1137397257794426E-4</v>
      </c>
      <c r="S6" s="54">
        <f t="shared" si="13"/>
        <v>4.0676137379025423E-4</v>
      </c>
      <c r="T6" s="53">
        <f t="shared" si="2"/>
        <v>0.48184390601960131</v>
      </c>
      <c r="U6" s="53">
        <f t="shared" si="3"/>
        <v>0.47955714845645808</v>
      </c>
      <c r="V6" s="53">
        <f t="shared" si="4"/>
        <v>0.48377120660101286</v>
      </c>
      <c r="W6" s="33"/>
      <c r="X6" s="34"/>
      <c r="Y6" s="35"/>
      <c r="Z6" s="35"/>
      <c r="AA6" s="35"/>
      <c r="AB6" s="35"/>
      <c r="AC6" s="32"/>
      <c r="AD6" s="32"/>
      <c r="AE6" s="32"/>
      <c r="AF6" s="32"/>
      <c r="AG6" s="32"/>
      <c r="AH6" s="33"/>
    </row>
    <row r="7" spans="1:34" x14ac:dyDescent="0.2">
      <c r="A7" s="62">
        <v>21052</v>
      </c>
      <c r="B7" s="62" t="s">
        <v>11</v>
      </c>
      <c r="C7" s="63">
        <v>35</v>
      </c>
      <c r="D7" s="64">
        <v>0.6094149477267925</v>
      </c>
      <c r="E7" s="64">
        <v>1.9959246287007486E-3</v>
      </c>
      <c r="F7" s="64">
        <v>3.3737283841277449E-4</v>
      </c>
      <c r="G7" s="64">
        <v>0.60849446157486442</v>
      </c>
      <c r="H7" s="64">
        <v>0.61033543387872058</v>
      </c>
      <c r="I7" s="32"/>
      <c r="J7" s="24" t="s">
        <v>15</v>
      </c>
      <c r="K7" s="53">
        <f t="shared" si="5"/>
        <v>0.6094149477267925</v>
      </c>
      <c r="L7" s="53">
        <f t="shared" si="6"/>
        <v>0.60857542099172401</v>
      </c>
      <c r="M7" s="53">
        <f t="shared" si="7"/>
        <v>0.61213109289703982</v>
      </c>
      <c r="N7" s="54">
        <f t="shared" si="8"/>
        <v>9.2048615192807937E-4</v>
      </c>
      <c r="O7" s="54">
        <f t="shared" si="9"/>
        <v>4.6402337346795886E-4</v>
      </c>
      <c r="P7" s="54">
        <f t="shared" si="10"/>
        <v>4.4793313877600216E-4</v>
      </c>
      <c r="Q7" s="54">
        <f t="shared" si="11"/>
        <v>9.2048615192807937E-4</v>
      </c>
      <c r="R7" s="54">
        <f t="shared" si="12"/>
        <v>4.6402337346795886E-4</v>
      </c>
      <c r="S7" s="54">
        <f t="shared" si="13"/>
        <v>4.4793313877600216E-4</v>
      </c>
      <c r="T7" s="53">
        <f t="shared" si="2"/>
        <v>0.48184390601960131</v>
      </c>
      <c r="U7" s="53">
        <f t="shared" si="3"/>
        <v>0.47955714845645808</v>
      </c>
      <c r="V7" s="53">
        <f t="shared" si="4"/>
        <v>0.48377120660101286</v>
      </c>
      <c r="W7" s="33"/>
      <c r="X7" s="34"/>
      <c r="Y7" s="35"/>
      <c r="Z7" s="35"/>
      <c r="AA7" s="35"/>
      <c r="AB7" s="35"/>
      <c r="AC7" s="32"/>
      <c r="AD7" s="32"/>
      <c r="AE7" s="32"/>
      <c r="AF7" s="32"/>
      <c r="AG7" s="32"/>
      <c r="AH7" s="33"/>
    </row>
    <row r="8" spans="1:34" x14ac:dyDescent="0.2">
      <c r="A8" s="62">
        <v>62936</v>
      </c>
      <c r="B8" s="62" t="s">
        <v>8</v>
      </c>
      <c r="C8" s="63">
        <v>1</v>
      </c>
      <c r="D8" s="64">
        <v>0.47955714845645808</v>
      </c>
      <c r="E8" s="64">
        <v>0</v>
      </c>
      <c r="F8" s="64">
        <v>0</v>
      </c>
      <c r="G8" s="64">
        <v>0.47955714845645808</v>
      </c>
      <c r="H8" s="64">
        <v>0.47955714845645808</v>
      </c>
      <c r="I8" s="32"/>
      <c r="J8" s="24"/>
      <c r="K8" s="32"/>
      <c r="L8" s="32"/>
      <c r="M8" s="32"/>
      <c r="N8" s="32"/>
      <c r="O8" s="32"/>
      <c r="P8" s="32"/>
      <c r="T8" s="53">
        <f t="shared" si="2"/>
        <v>0.48184390601960131</v>
      </c>
      <c r="U8" s="53">
        <f t="shared" si="3"/>
        <v>0.47955714845645808</v>
      </c>
      <c r="V8" s="53">
        <f t="shared" si="4"/>
        <v>0.48377120660101286</v>
      </c>
      <c r="W8" s="33"/>
      <c r="X8" s="34"/>
      <c r="Y8" s="35"/>
      <c r="Z8" s="35"/>
      <c r="AA8" s="35"/>
      <c r="AB8" s="35"/>
      <c r="AC8" s="32"/>
      <c r="AD8" s="32"/>
      <c r="AE8" s="32"/>
      <c r="AF8" s="32"/>
      <c r="AG8" s="32"/>
      <c r="AH8" s="33"/>
    </row>
    <row r="9" spans="1:34" x14ac:dyDescent="0.2">
      <c r="A9" s="62">
        <v>62936</v>
      </c>
      <c r="B9" s="62" t="s">
        <v>5</v>
      </c>
      <c r="C9" s="63">
        <v>1</v>
      </c>
      <c r="D9" s="64">
        <v>0.560483849077827</v>
      </c>
      <c r="E9" s="64">
        <v>0</v>
      </c>
      <c r="F9" s="64">
        <v>0</v>
      </c>
      <c r="G9" s="64">
        <v>0.560483849077827</v>
      </c>
      <c r="H9" s="64">
        <v>0.560483849077827</v>
      </c>
      <c r="I9" s="32"/>
      <c r="J9" s="24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3"/>
      <c r="X9" s="34"/>
      <c r="Y9" s="35"/>
      <c r="Z9" s="35"/>
      <c r="AA9" s="35"/>
      <c r="AB9" s="35"/>
      <c r="AC9" s="32"/>
      <c r="AD9" s="32"/>
      <c r="AE9" s="32"/>
      <c r="AF9" s="32"/>
      <c r="AG9" s="32"/>
      <c r="AH9" s="33"/>
    </row>
    <row r="10" spans="1:34" x14ac:dyDescent="0.2">
      <c r="A10" s="62">
        <v>62936</v>
      </c>
      <c r="B10" s="62" t="s">
        <v>9</v>
      </c>
      <c r="C10" s="63">
        <v>35</v>
      </c>
      <c r="D10" s="64">
        <v>0.40566092315490554</v>
      </c>
      <c r="E10" s="64">
        <v>1.349902905953753E-3</v>
      </c>
      <c r="F10" s="64">
        <v>2.2817523688744057E-4</v>
      </c>
      <c r="G10" s="64">
        <v>0.40503837112387681</v>
      </c>
      <c r="H10" s="64">
        <v>0.40628347518593427</v>
      </c>
      <c r="I10" s="32"/>
      <c r="J10" s="2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3"/>
      <c r="X10" s="34"/>
      <c r="Y10" s="35"/>
      <c r="Z10" s="35"/>
      <c r="AA10" s="35"/>
      <c r="AB10" s="35"/>
      <c r="AC10" s="32"/>
      <c r="AD10" s="32"/>
      <c r="AE10" s="32"/>
      <c r="AG10" s="32"/>
      <c r="AH10" s="33"/>
    </row>
    <row r="11" spans="1:34" x14ac:dyDescent="0.2">
      <c r="A11" s="62">
        <v>62936</v>
      </c>
      <c r="B11" s="62" t="s">
        <v>10</v>
      </c>
      <c r="C11" s="63">
        <v>35</v>
      </c>
      <c r="D11" s="64">
        <v>0.56310640699700354</v>
      </c>
      <c r="E11" s="64">
        <v>1.1088313541784589E-3</v>
      </c>
      <c r="F11" s="64">
        <v>1.8742670735206145E-4</v>
      </c>
      <c r="G11" s="64">
        <v>0.56259503302442559</v>
      </c>
      <c r="H11" s="64">
        <v>0.56361778096958148</v>
      </c>
      <c r="I11" s="32"/>
      <c r="J11" s="26"/>
      <c r="K11" s="32"/>
      <c r="L11" s="32"/>
      <c r="M11" s="32"/>
      <c r="N11" s="32"/>
      <c r="O11" s="32"/>
      <c r="P11" s="32"/>
      <c r="Q11" s="32"/>
      <c r="R11" s="37"/>
      <c r="S11" s="32"/>
      <c r="T11" s="32"/>
      <c r="U11" s="32"/>
      <c r="V11" s="32"/>
      <c r="W11" s="33"/>
      <c r="X11" s="34"/>
      <c r="Y11" s="35"/>
      <c r="Z11" s="35"/>
      <c r="AA11" s="35"/>
      <c r="AB11" s="35"/>
      <c r="AC11" s="32"/>
      <c r="AD11" s="32"/>
      <c r="AE11" s="32"/>
      <c r="AF11" s="32"/>
      <c r="AG11" s="32"/>
      <c r="AH11" s="33"/>
    </row>
    <row r="12" spans="1:34" x14ac:dyDescent="0.2">
      <c r="A12" s="62">
        <v>62936</v>
      </c>
      <c r="B12" s="62" t="s">
        <v>11</v>
      </c>
      <c r="C12" s="63">
        <v>35</v>
      </c>
      <c r="D12" s="64">
        <v>0.60857542099172401</v>
      </c>
      <c r="E12" s="64">
        <v>1.006159275136946E-3</v>
      </c>
      <c r="F12" s="64">
        <v>1.7007195846331001E-4</v>
      </c>
      <c r="G12" s="64">
        <v>0.60811139761825606</v>
      </c>
      <c r="H12" s="64">
        <v>0.60903944436519197</v>
      </c>
      <c r="I12" s="32"/>
      <c r="J12" s="26"/>
      <c r="K12" s="32"/>
      <c r="L12" s="32"/>
      <c r="M12" s="32"/>
      <c r="N12" s="32"/>
      <c r="O12" s="32"/>
      <c r="P12" s="32"/>
      <c r="Q12" s="37"/>
      <c r="R12" s="32"/>
      <c r="S12" s="32"/>
      <c r="T12" s="32"/>
      <c r="U12" s="32"/>
      <c r="V12" s="32"/>
      <c r="W12" s="33"/>
      <c r="X12" s="34"/>
      <c r="Y12" s="35"/>
      <c r="Z12" s="35"/>
      <c r="AA12" s="35"/>
      <c r="AB12" s="35"/>
      <c r="AC12" s="32"/>
      <c r="AD12" s="32"/>
      <c r="AE12" s="32"/>
      <c r="AF12" s="32"/>
      <c r="AG12" s="32"/>
      <c r="AH12" s="33"/>
    </row>
    <row r="13" spans="1:34" x14ac:dyDescent="0.2">
      <c r="A13" s="62">
        <v>104717</v>
      </c>
      <c r="B13" s="62" t="s">
        <v>8</v>
      </c>
      <c r="C13" s="63">
        <v>1</v>
      </c>
      <c r="D13" s="64">
        <v>0.48377120660101286</v>
      </c>
      <c r="E13" s="64">
        <v>0</v>
      </c>
      <c r="F13" s="64">
        <v>0</v>
      </c>
      <c r="G13" s="64">
        <v>0.48377120660101286</v>
      </c>
      <c r="H13" s="64">
        <v>0.48377120660101286</v>
      </c>
      <c r="I13" s="32"/>
      <c r="J13" s="27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3"/>
      <c r="X13" s="34"/>
      <c r="Y13" s="35"/>
      <c r="Z13" s="35"/>
      <c r="AA13" s="35"/>
      <c r="AB13" s="35"/>
      <c r="AC13" s="32"/>
      <c r="AD13" s="32"/>
      <c r="AE13" s="32"/>
      <c r="AF13" s="32"/>
      <c r="AG13" s="32"/>
      <c r="AH13" s="33"/>
    </row>
    <row r="14" spans="1:34" x14ac:dyDescent="0.2">
      <c r="A14" s="62">
        <v>104717</v>
      </c>
      <c r="B14" s="62" t="s">
        <v>5</v>
      </c>
      <c r="C14" s="63">
        <v>1</v>
      </c>
      <c r="D14" s="64">
        <v>0.56378002706971431</v>
      </c>
      <c r="E14" s="64">
        <v>0</v>
      </c>
      <c r="F14" s="64">
        <v>0</v>
      </c>
      <c r="G14" s="64">
        <v>0.56378002706971431</v>
      </c>
      <c r="H14" s="64">
        <v>0.56378002706971431</v>
      </c>
      <c r="I14" s="32"/>
      <c r="J14" s="26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3"/>
      <c r="X14" s="34"/>
      <c r="Y14" s="35"/>
      <c r="Z14" s="35"/>
      <c r="AA14" s="35"/>
      <c r="AB14" s="35"/>
      <c r="AC14" s="32"/>
      <c r="AD14" s="32"/>
      <c r="AE14" s="32"/>
      <c r="AF14" s="32"/>
      <c r="AG14" s="32"/>
      <c r="AH14" s="33"/>
    </row>
    <row r="15" spans="1:34" x14ac:dyDescent="0.2">
      <c r="A15" s="62">
        <v>104717</v>
      </c>
      <c r="B15" s="62" t="s">
        <v>9</v>
      </c>
      <c r="C15" s="63">
        <v>35</v>
      </c>
      <c r="D15" s="64">
        <v>0.40708585928652291</v>
      </c>
      <c r="E15" s="64">
        <v>9.2300155843849663E-4</v>
      </c>
      <c r="F15" s="64">
        <v>1.560157388470694E-4</v>
      </c>
      <c r="G15" s="64">
        <v>0.40666018682347821</v>
      </c>
      <c r="H15" s="64">
        <v>0.40751153174956761</v>
      </c>
      <c r="I15" s="32"/>
      <c r="J15" s="24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3"/>
      <c r="X15" s="34"/>
      <c r="Y15" s="35"/>
      <c r="Z15" s="35"/>
      <c r="AA15" s="35"/>
      <c r="AB15" s="35"/>
      <c r="AC15" s="32"/>
      <c r="AD15" s="32"/>
      <c r="AE15" s="32"/>
      <c r="AF15" s="32"/>
      <c r="AG15" s="32"/>
      <c r="AH15" s="33"/>
    </row>
    <row r="16" spans="1:34" x14ac:dyDescent="0.2">
      <c r="A16" s="62">
        <v>104717</v>
      </c>
      <c r="B16" s="62" t="s">
        <v>10</v>
      </c>
      <c r="C16" s="63">
        <v>35</v>
      </c>
      <c r="D16" s="64">
        <v>0.56655127432805996</v>
      </c>
      <c r="E16" s="64">
        <v>8.8199593470424727E-4</v>
      </c>
      <c r="F16" s="64">
        <v>1.4908452337370989E-4</v>
      </c>
      <c r="G16" s="64">
        <v>0.56614451295426971</v>
      </c>
      <c r="H16" s="64">
        <v>0.56695803570185022</v>
      </c>
      <c r="I16" s="32"/>
      <c r="J16" s="24"/>
      <c r="K16" s="32"/>
      <c r="L16" s="32"/>
      <c r="M16" s="32"/>
      <c r="N16" s="32"/>
      <c r="O16" s="32"/>
      <c r="P16" s="32"/>
      <c r="Q16" s="37"/>
      <c r="R16" s="37"/>
      <c r="S16" s="32"/>
      <c r="T16" s="32"/>
      <c r="U16" s="32"/>
      <c r="V16" s="32"/>
      <c r="W16" s="33"/>
      <c r="X16" s="34"/>
      <c r="Y16" s="35"/>
      <c r="Z16" s="35"/>
      <c r="AA16" s="35"/>
      <c r="AB16" s="35"/>
      <c r="AC16" s="32"/>
      <c r="AD16" s="32"/>
      <c r="AE16" s="32"/>
      <c r="AF16" s="32"/>
      <c r="AG16" s="32"/>
      <c r="AH16" s="33"/>
    </row>
    <row r="17" spans="1:34" x14ac:dyDescent="0.2">
      <c r="A17" s="62">
        <v>104717</v>
      </c>
      <c r="B17" s="62" t="s">
        <v>11</v>
      </c>
      <c r="C17" s="63">
        <v>35</v>
      </c>
      <c r="D17" s="64">
        <v>0.61213109289703982</v>
      </c>
      <c r="E17" s="64">
        <v>9.7127021609360567E-4</v>
      </c>
      <c r="F17" s="64">
        <v>1.6417463112451929E-4</v>
      </c>
      <c r="G17" s="64">
        <v>0.61168315975826382</v>
      </c>
      <c r="H17" s="64">
        <v>0.61257902603581582</v>
      </c>
      <c r="I17" s="32"/>
      <c r="J17" s="24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3"/>
      <c r="X17" s="34"/>
      <c r="Y17" s="35"/>
      <c r="Z17" s="35"/>
      <c r="AA17" s="35"/>
      <c r="AB17" s="35"/>
      <c r="AC17" s="32"/>
      <c r="AD17" s="32"/>
      <c r="AE17" s="32"/>
      <c r="AF17" s="32"/>
      <c r="AG17" s="32"/>
      <c r="AH17" s="33"/>
    </row>
    <row r="18" spans="1:34" ht="13.5" thickBot="1" x14ac:dyDescent="0.25">
      <c r="A18" s="38"/>
      <c r="B18" s="39"/>
      <c r="C18" s="39"/>
      <c r="D18" s="40"/>
      <c r="E18" s="40"/>
      <c r="F18" s="39"/>
      <c r="G18" s="39"/>
      <c r="H18" s="39"/>
      <c r="I18" s="39"/>
      <c r="J18" s="28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41"/>
      <c r="X18" s="42"/>
      <c r="Y18" s="43"/>
      <c r="Z18" s="43"/>
      <c r="AA18" s="43"/>
      <c r="AB18" s="43"/>
      <c r="AC18" s="39"/>
      <c r="AD18" s="39"/>
      <c r="AE18" s="39"/>
      <c r="AF18" s="39"/>
      <c r="AG18" s="39"/>
      <c r="AH18" s="41"/>
    </row>
    <row r="19" spans="1:34" ht="13.5" thickBot="1" x14ac:dyDescent="0.25">
      <c r="I19" s="31" t="s">
        <v>13</v>
      </c>
      <c r="W19" s="31" t="s">
        <v>13</v>
      </c>
      <c r="X19" s="45"/>
      <c r="Y19" s="45"/>
      <c r="Z19" s="45"/>
      <c r="AA19" s="45"/>
      <c r="AB19" s="45"/>
    </row>
    <row r="20" spans="1:34" s="23" customFormat="1" ht="13.5" thickBot="1" x14ac:dyDescent="0.25">
      <c r="A20" s="72"/>
      <c r="B20" s="71"/>
      <c r="C20" s="71"/>
      <c r="D20" s="71"/>
      <c r="E20" s="71"/>
      <c r="F20" s="71"/>
      <c r="G20" s="71"/>
      <c r="H20" s="71"/>
      <c r="I20" s="71"/>
      <c r="J20" s="71" t="s">
        <v>38</v>
      </c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3"/>
    </row>
    <row r="21" spans="1:34" s="23" customFormat="1" ht="13.5" thickBot="1" x14ac:dyDescent="0.25">
      <c r="A21" s="48" t="s">
        <v>16</v>
      </c>
      <c r="B21" s="48" t="s">
        <v>41</v>
      </c>
      <c r="C21" s="48" t="s">
        <v>3</v>
      </c>
      <c r="D21" s="48" t="s">
        <v>43</v>
      </c>
      <c r="E21" s="48" t="s">
        <v>44</v>
      </c>
      <c r="F21" s="49" t="s">
        <v>45</v>
      </c>
      <c r="G21" s="49" t="s">
        <v>46</v>
      </c>
      <c r="H21" s="49" t="s">
        <v>47</v>
      </c>
      <c r="I21" s="21"/>
      <c r="J21" s="56" t="s">
        <v>12</v>
      </c>
      <c r="K21" s="67">
        <v>1000</v>
      </c>
      <c r="L21" s="67">
        <v>3000</v>
      </c>
      <c r="M21" s="67">
        <v>5000</v>
      </c>
      <c r="N21" s="68">
        <f>K$2</f>
        <v>1000</v>
      </c>
      <c r="O21" s="68">
        <f t="shared" ref="O21" si="14">L$2</f>
        <v>3000</v>
      </c>
      <c r="P21" s="68">
        <f t="shared" ref="P21" si="15">M$2</f>
        <v>5000</v>
      </c>
      <c r="Q21" s="69">
        <f>K$2</f>
        <v>1000</v>
      </c>
      <c r="R21" s="69">
        <f t="shared" ref="R21" si="16">L$2</f>
        <v>3000</v>
      </c>
      <c r="S21" s="69">
        <f t="shared" ref="S21" si="17">M$2</f>
        <v>5000</v>
      </c>
      <c r="T21" s="70">
        <f>K$2</f>
        <v>1000</v>
      </c>
      <c r="U21" s="70">
        <f>L$2</f>
        <v>3000</v>
      </c>
      <c r="V21" s="70">
        <f>M$2</f>
        <v>5000</v>
      </c>
      <c r="W21" s="22"/>
      <c r="X21" s="30"/>
      <c r="Y21" s="30"/>
      <c r="Z21" s="30"/>
      <c r="AA21" s="30"/>
      <c r="AB21" s="30"/>
      <c r="AC21" s="28"/>
      <c r="AD21" s="28"/>
      <c r="AE21" s="28"/>
      <c r="AF21" s="28"/>
      <c r="AG21" s="28"/>
      <c r="AH21" s="29"/>
    </row>
    <row r="22" spans="1:34" x14ac:dyDescent="0.2">
      <c r="A22" s="62">
        <v>21052</v>
      </c>
      <c r="B22" s="62" t="s">
        <v>8</v>
      </c>
      <c r="C22" s="63">
        <v>1</v>
      </c>
      <c r="D22" s="64">
        <v>2012.7492886780001</v>
      </c>
      <c r="E22" s="64">
        <v>0</v>
      </c>
      <c r="F22" s="64">
        <v>0</v>
      </c>
      <c r="G22" s="64">
        <v>2012.7492886780001</v>
      </c>
      <c r="H22" s="64">
        <v>2012.7492886780001</v>
      </c>
      <c r="I22" s="32"/>
      <c r="J22" s="24"/>
      <c r="K22" s="32"/>
      <c r="L22" s="32"/>
      <c r="M22" s="32"/>
      <c r="N22" s="32"/>
      <c r="O22" s="32"/>
      <c r="P22" s="32"/>
      <c r="Q22" s="32"/>
      <c r="R22" s="32"/>
      <c r="S22" s="32"/>
      <c r="T22" s="51">
        <f>$D$22</f>
        <v>2012.7492886780001</v>
      </c>
      <c r="U22" s="51">
        <f>$D$27</f>
        <v>6027.1568870459996</v>
      </c>
      <c r="V22" s="51">
        <f>$D$32</f>
        <v>10015.612801911</v>
      </c>
      <c r="W22" s="33"/>
      <c r="X22" s="35"/>
      <c r="Y22" s="35"/>
      <c r="Z22" s="35"/>
      <c r="AA22" s="35"/>
      <c r="AB22" s="35"/>
      <c r="AC22" s="32"/>
      <c r="AD22" s="32"/>
      <c r="AE22" s="32"/>
      <c r="AF22" s="32"/>
      <c r="AG22" s="32"/>
      <c r="AH22" s="33"/>
    </row>
    <row r="23" spans="1:34" x14ac:dyDescent="0.2">
      <c r="A23" s="62">
        <v>21052</v>
      </c>
      <c r="B23" s="62" t="s">
        <v>5</v>
      </c>
      <c r="C23" s="63">
        <v>1</v>
      </c>
      <c r="D23" s="64">
        <v>4.7102325E-2</v>
      </c>
      <c r="E23" s="64">
        <v>0</v>
      </c>
      <c r="F23" s="64">
        <v>0</v>
      </c>
      <c r="G23" s="64">
        <v>4.7102325E-2</v>
      </c>
      <c r="H23" s="64">
        <v>4.7102325E-2</v>
      </c>
      <c r="I23" s="32"/>
      <c r="J23" s="24" t="s">
        <v>0</v>
      </c>
      <c r="K23" s="51">
        <f>$D23</f>
        <v>4.7102325E-2</v>
      </c>
      <c r="L23" s="51">
        <f>$D28</f>
        <v>0.130656471</v>
      </c>
      <c r="M23" s="51">
        <f>$D33</f>
        <v>0.211900385</v>
      </c>
      <c r="N23" s="55">
        <f>$D23-$G23</f>
        <v>0</v>
      </c>
      <c r="O23" s="55">
        <f>$D28-$G28</f>
        <v>0</v>
      </c>
      <c r="P23" s="55">
        <f>$D33-$G33</f>
        <v>0</v>
      </c>
      <c r="Q23" s="55">
        <f>-$D23+$H23</f>
        <v>0</v>
      </c>
      <c r="R23" s="55">
        <f>-$D28+$H28</f>
        <v>0</v>
      </c>
      <c r="S23" s="55">
        <f>-$D33+$H33</f>
        <v>0</v>
      </c>
      <c r="T23" s="51">
        <f t="shared" ref="T23:T27" si="18">$D$22</f>
        <v>2012.7492886780001</v>
      </c>
      <c r="U23" s="51">
        <f t="shared" ref="U23:U27" si="19">$D$27</f>
        <v>6027.1568870459996</v>
      </c>
      <c r="V23" s="51">
        <f t="shared" ref="V23:V27" si="20">$D$32</f>
        <v>10015.612801911</v>
      </c>
      <c r="W23" s="33"/>
      <c r="X23" s="35"/>
      <c r="Y23" s="35"/>
      <c r="Z23" s="35"/>
      <c r="AA23" s="35"/>
      <c r="AB23" s="35"/>
      <c r="AC23" s="32"/>
      <c r="AD23" s="32"/>
      <c r="AE23" s="32"/>
      <c r="AF23" s="32"/>
      <c r="AG23" s="32"/>
      <c r="AH23" s="33"/>
    </row>
    <row r="24" spans="1:34" x14ac:dyDescent="0.2">
      <c r="A24" s="62">
        <v>21052</v>
      </c>
      <c r="B24" s="62" t="s">
        <v>9</v>
      </c>
      <c r="C24" s="63">
        <v>35</v>
      </c>
      <c r="D24" s="64">
        <v>3.3070979142857137E-3</v>
      </c>
      <c r="E24" s="64">
        <v>1.6045681842887191E-4</v>
      </c>
      <c r="F24" s="64">
        <v>2.7122152559072429E-5</v>
      </c>
      <c r="G24" s="64">
        <v>3.2330979860207077E-3</v>
      </c>
      <c r="H24" s="64">
        <v>3.3810978425507197E-3</v>
      </c>
      <c r="I24" s="32"/>
      <c r="J24" s="24" t="s">
        <v>14</v>
      </c>
      <c r="K24" s="51">
        <f t="shared" ref="K24:K26" si="21">$D24</f>
        <v>3.3070979142857137E-3</v>
      </c>
      <c r="L24" s="51">
        <f t="shared" ref="L24:L26" si="22">$D29</f>
        <v>1.0033077228571429E-2</v>
      </c>
      <c r="M24" s="51">
        <f t="shared" ref="M24:M26" si="23">$D34</f>
        <v>1.6588650857142857E-2</v>
      </c>
      <c r="N24" s="55">
        <f t="shared" ref="N24:N26" si="24">$D24-$G24</f>
        <v>7.3999928265006034E-5</v>
      </c>
      <c r="O24" s="55">
        <f t="shared" ref="O24:O26" si="25">$D29-$G29</f>
        <v>1.3622985174533211E-4</v>
      </c>
      <c r="P24" s="55">
        <f t="shared" ref="P24:P26" si="26">$D34-$G34</f>
        <v>1.66968896909956E-4</v>
      </c>
      <c r="Q24" s="55">
        <f t="shared" ref="Q24:Q26" si="27">-$D24+$H24</f>
        <v>7.3999928265006034E-5</v>
      </c>
      <c r="R24" s="55">
        <f t="shared" ref="R24:R26" si="28">-$D29+$H29</f>
        <v>1.3622985174533211E-4</v>
      </c>
      <c r="S24" s="55">
        <f t="shared" ref="S24:S26" si="29">-$D34+$H34</f>
        <v>1.66968896909956E-4</v>
      </c>
      <c r="T24" s="51">
        <f t="shared" si="18"/>
        <v>2012.7492886780001</v>
      </c>
      <c r="U24" s="51">
        <f t="shared" si="19"/>
        <v>6027.1568870459996</v>
      </c>
      <c r="V24" s="51">
        <f t="shared" si="20"/>
        <v>10015.612801911</v>
      </c>
      <c r="W24" s="33"/>
      <c r="X24" s="35"/>
      <c r="Y24" s="35"/>
      <c r="Z24" s="35"/>
      <c r="AA24" s="35"/>
      <c r="AB24" s="35"/>
      <c r="AC24" s="32"/>
      <c r="AD24" s="32"/>
      <c r="AE24" s="32"/>
      <c r="AF24" s="32"/>
      <c r="AG24" s="32"/>
      <c r="AH24" s="33"/>
    </row>
    <row r="25" spans="1:34" x14ac:dyDescent="0.2">
      <c r="A25" s="62">
        <v>21052</v>
      </c>
      <c r="B25" s="62" t="s">
        <v>10</v>
      </c>
      <c r="C25" s="63">
        <v>35</v>
      </c>
      <c r="D25" s="64">
        <v>19.793286332114285</v>
      </c>
      <c r="E25" s="64">
        <v>0.30139274929719112</v>
      </c>
      <c r="F25" s="64">
        <v>5.0944672882569236E-2</v>
      </c>
      <c r="G25" s="64">
        <v>19.654289173589223</v>
      </c>
      <c r="H25" s="64">
        <v>19.932283490639346</v>
      </c>
      <c r="I25" s="32"/>
      <c r="J25" s="24" t="s">
        <v>1</v>
      </c>
      <c r="K25" s="51">
        <f t="shared" si="21"/>
        <v>19.793286332114285</v>
      </c>
      <c r="L25" s="51">
        <f t="shared" si="22"/>
        <v>163.08860514557145</v>
      </c>
      <c r="M25" s="51">
        <f t="shared" si="23"/>
        <v>442.67868966794293</v>
      </c>
      <c r="N25" s="55">
        <f t="shared" si="24"/>
        <v>0.13899715852506134</v>
      </c>
      <c r="O25" s="55">
        <f t="shared" si="25"/>
        <v>0.51929069269257866</v>
      </c>
      <c r="P25" s="55">
        <f t="shared" si="26"/>
        <v>1.0628470698266028</v>
      </c>
      <c r="Q25" s="55">
        <f t="shared" si="27"/>
        <v>0.13899715852506134</v>
      </c>
      <c r="R25" s="55">
        <f t="shared" si="28"/>
        <v>0.51929069269257866</v>
      </c>
      <c r="S25" s="55">
        <f t="shared" si="29"/>
        <v>1.0628470698266028</v>
      </c>
      <c r="T25" s="51">
        <f t="shared" si="18"/>
        <v>2012.7492886780001</v>
      </c>
      <c r="U25" s="51">
        <f t="shared" si="19"/>
        <v>6027.1568870459996</v>
      </c>
      <c r="V25" s="51">
        <f t="shared" si="20"/>
        <v>10015.612801911</v>
      </c>
      <c r="W25" s="33"/>
      <c r="X25" s="35"/>
      <c r="Y25" s="35"/>
      <c r="Z25" s="35"/>
      <c r="AA25" s="35"/>
      <c r="AB25" s="35"/>
      <c r="AC25" s="32"/>
      <c r="AD25" s="32"/>
      <c r="AE25" s="32"/>
      <c r="AF25" s="32"/>
      <c r="AG25" s="32"/>
      <c r="AH25" s="33"/>
    </row>
    <row r="26" spans="1:34" x14ac:dyDescent="0.2">
      <c r="A26" s="62">
        <v>21052</v>
      </c>
      <c r="B26" s="62" t="s">
        <v>11</v>
      </c>
      <c r="C26" s="63">
        <v>35</v>
      </c>
      <c r="D26" s="64">
        <v>70.172355326371417</v>
      </c>
      <c r="E26" s="64">
        <v>0.46425350930554693</v>
      </c>
      <c r="F26" s="64">
        <v>7.8473165732445588E-2</v>
      </c>
      <c r="G26" s="64">
        <v>69.958249583020802</v>
      </c>
      <c r="H26" s="64">
        <v>70.386461069722031</v>
      </c>
      <c r="I26" s="32"/>
      <c r="J26" s="24" t="s">
        <v>15</v>
      </c>
      <c r="K26" s="51">
        <f t="shared" si="21"/>
        <v>70.172355326371417</v>
      </c>
      <c r="L26" s="51">
        <f t="shared" si="22"/>
        <v>598.91037369411436</v>
      </c>
      <c r="M26" s="51">
        <f t="shared" si="23"/>
        <v>1634.4001142251716</v>
      </c>
      <c r="N26" s="55">
        <f t="shared" si="24"/>
        <v>0.21410574335061483</v>
      </c>
      <c r="O26" s="55">
        <f t="shared" si="25"/>
        <v>0.85657604404832455</v>
      </c>
      <c r="P26" s="55">
        <f t="shared" si="26"/>
        <v>2.0159020414560018</v>
      </c>
      <c r="Q26" s="55">
        <f t="shared" si="27"/>
        <v>0.21410574335061483</v>
      </c>
      <c r="R26" s="55">
        <f t="shared" si="28"/>
        <v>0.85657604404832455</v>
      </c>
      <c r="S26" s="55">
        <f t="shared" si="29"/>
        <v>2.0159020414560018</v>
      </c>
      <c r="T26" s="51">
        <f t="shared" si="18"/>
        <v>2012.7492886780001</v>
      </c>
      <c r="U26" s="51">
        <f t="shared" si="19"/>
        <v>6027.1568870459996</v>
      </c>
      <c r="V26" s="51">
        <f t="shared" si="20"/>
        <v>10015.612801911</v>
      </c>
      <c r="W26" s="33"/>
      <c r="X26" s="35"/>
      <c r="Y26" s="35"/>
      <c r="Z26" s="35"/>
      <c r="AA26" s="35"/>
      <c r="AB26" s="35"/>
      <c r="AC26" s="32"/>
      <c r="AD26" s="32"/>
      <c r="AE26" s="32"/>
      <c r="AF26" s="32"/>
      <c r="AG26" s="32"/>
      <c r="AH26" s="33"/>
    </row>
    <row r="27" spans="1:34" x14ac:dyDescent="0.2">
      <c r="A27" s="62">
        <v>62936</v>
      </c>
      <c r="B27" s="62" t="s">
        <v>8</v>
      </c>
      <c r="C27" s="63">
        <v>1</v>
      </c>
      <c r="D27" s="64">
        <v>6027.1568870459996</v>
      </c>
      <c r="E27" s="64">
        <v>0</v>
      </c>
      <c r="F27" s="64">
        <v>0</v>
      </c>
      <c r="G27" s="64">
        <v>6027.1568870459996</v>
      </c>
      <c r="H27" s="64">
        <v>6027.1568870459996</v>
      </c>
      <c r="I27" s="32"/>
      <c r="J27" s="24"/>
      <c r="K27" s="32"/>
      <c r="L27" s="32"/>
      <c r="M27" s="32"/>
      <c r="N27" s="32"/>
      <c r="O27" s="32"/>
      <c r="P27" s="32"/>
      <c r="T27" s="51">
        <f t="shared" si="18"/>
        <v>2012.7492886780001</v>
      </c>
      <c r="U27" s="51">
        <f t="shared" si="19"/>
        <v>6027.1568870459996</v>
      </c>
      <c r="V27" s="51">
        <f t="shared" si="20"/>
        <v>10015.612801911</v>
      </c>
      <c r="W27" s="33"/>
      <c r="X27" s="35"/>
      <c r="Y27" s="35"/>
      <c r="Z27" s="35"/>
      <c r="AA27" s="35"/>
      <c r="AB27" s="35"/>
      <c r="AC27" s="32"/>
      <c r="AD27" s="32"/>
      <c r="AE27" s="32"/>
      <c r="AF27" s="32"/>
      <c r="AG27" s="32"/>
      <c r="AH27" s="33"/>
    </row>
    <row r="28" spans="1:34" x14ac:dyDescent="0.2">
      <c r="A28" s="62">
        <v>62936</v>
      </c>
      <c r="B28" s="62" t="s">
        <v>5</v>
      </c>
      <c r="C28" s="63">
        <v>1</v>
      </c>
      <c r="D28" s="64">
        <v>0.130656471</v>
      </c>
      <c r="E28" s="64">
        <v>0</v>
      </c>
      <c r="F28" s="64">
        <v>0</v>
      </c>
      <c r="G28" s="64">
        <v>0.130656471</v>
      </c>
      <c r="H28" s="64">
        <v>0.130656471</v>
      </c>
      <c r="I28" s="32"/>
      <c r="J28" s="2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/>
      <c r="X28" s="35"/>
      <c r="Y28" s="35"/>
      <c r="Z28" s="35"/>
      <c r="AA28" s="35"/>
      <c r="AB28" s="35"/>
      <c r="AC28" s="32"/>
      <c r="AD28" s="32"/>
      <c r="AE28" s="32"/>
      <c r="AF28" s="32"/>
      <c r="AG28" s="32"/>
      <c r="AH28" s="33"/>
    </row>
    <row r="29" spans="1:34" x14ac:dyDescent="0.2">
      <c r="A29" s="62">
        <v>62936</v>
      </c>
      <c r="B29" s="62" t="s">
        <v>9</v>
      </c>
      <c r="C29" s="63">
        <v>35</v>
      </c>
      <c r="D29" s="64">
        <v>1.0033077228571429E-2</v>
      </c>
      <c r="E29" s="64">
        <v>2.9539229427104379E-4</v>
      </c>
      <c r="F29" s="64">
        <v>4.9930410863438132E-5</v>
      </c>
      <c r="G29" s="64">
        <v>9.8968473768260967E-3</v>
      </c>
      <c r="H29" s="64">
        <v>1.0169307080316761E-2</v>
      </c>
      <c r="I29" s="32"/>
      <c r="J29" s="24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/>
      <c r="X29" s="35"/>
      <c r="Y29" s="35"/>
      <c r="Z29" s="35"/>
      <c r="AA29" s="35"/>
      <c r="AB29" s="35"/>
      <c r="AC29" s="32"/>
      <c r="AD29" s="32"/>
      <c r="AE29" s="32"/>
      <c r="AF29" s="32"/>
      <c r="AG29" s="32"/>
      <c r="AH29" s="33"/>
    </row>
    <row r="30" spans="1:34" x14ac:dyDescent="0.2">
      <c r="A30" s="62">
        <v>62936</v>
      </c>
      <c r="B30" s="62" t="s">
        <v>10</v>
      </c>
      <c r="C30" s="63">
        <v>35</v>
      </c>
      <c r="D30" s="64">
        <v>163.08860514557145</v>
      </c>
      <c r="E30" s="64">
        <v>1.1259974751702302</v>
      </c>
      <c r="F30" s="64">
        <v>0.19032831139073744</v>
      </c>
      <c r="G30" s="64">
        <v>162.56931445287887</v>
      </c>
      <c r="H30" s="64">
        <v>163.60789583826403</v>
      </c>
      <c r="I30" s="32"/>
      <c r="J30" s="2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/>
      <c r="X30" s="35"/>
      <c r="Y30" s="35"/>
      <c r="Z30" s="35"/>
      <c r="AA30" s="35"/>
      <c r="AB30" s="35"/>
      <c r="AC30" s="32"/>
      <c r="AD30" s="32"/>
      <c r="AE30" s="32"/>
      <c r="AF30" s="32"/>
      <c r="AG30" s="32"/>
      <c r="AH30" s="33"/>
    </row>
    <row r="31" spans="1:34" x14ac:dyDescent="0.2">
      <c r="A31" s="62">
        <v>62936</v>
      </c>
      <c r="B31" s="62" t="s">
        <v>11</v>
      </c>
      <c r="C31" s="63">
        <v>35</v>
      </c>
      <c r="D31" s="64">
        <v>598.91037369411436</v>
      </c>
      <c r="E31" s="64">
        <v>1.8573459460417916</v>
      </c>
      <c r="F31" s="64">
        <v>0.31394876575999636</v>
      </c>
      <c r="G31" s="64">
        <v>598.05379765006603</v>
      </c>
      <c r="H31" s="64">
        <v>599.76694973816268</v>
      </c>
      <c r="I31" s="32"/>
      <c r="J31" s="24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/>
      <c r="X31" s="35"/>
      <c r="Y31" s="35"/>
      <c r="Z31" s="35"/>
      <c r="AA31" s="35"/>
      <c r="AB31" s="35"/>
      <c r="AC31" s="32"/>
      <c r="AD31" s="32"/>
      <c r="AE31" s="32"/>
      <c r="AF31" s="32"/>
      <c r="AG31" s="32"/>
      <c r="AH31" s="33"/>
    </row>
    <row r="32" spans="1:34" x14ac:dyDescent="0.2">
      <c r="A32" s="62">
        <v>104717</v>
      </c>
      <c r="B32" s="62" t="s">
        <v>8</v>
      </c>
      <c r="C32" s="63">
        <v>1</v>
      </c>
      <c r="D32" s="64">
        <v>10015.612801911</v>
      </c>
      <c r="E32" s="64">
        <v>0</v>
      </c>
      <c r="F32" s="64">
        <v>0</v>
      </c>
      <c r="G32" s="64">
        <v>10015.612801911</v>
      </c>
      <c r="H32" s="64">
        <v>10015.612801911</v>
      </c>
      <c r="I32" s="32"/>
      <c r="J32" s="2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/>
      <c r="X32" s="35"/>
      <c r="Y32" s="35"/>
      <c r="Z32" s="35"/>
      <c r="AA32" s="35"/>
      <c r="AB32" s="35"/>
      <c r="AC32" s="32"/>
      <c r="AD32" s="32"/>
      <c r="AE32" s="32"/>
      <c r="AF32" s="32"/>
      <c r="AG32" s="32"/>
      <c r="AH32" s="33"/>
    </row>
    <row r="33" spans="1:34" x14ac:dyDescent="0.2">
      <c r="A33" s="62">
        <v>104717</v>
      </c>
      <c r="B33" s="62" t="s">
        <v>5</v>
      </c>
      <c r="C33" s="63">
        <v>1</v>
      </c>
      <c r="D33" s="64">
        <v>0.211900385</v>
      </c>
      <c r="E33" s="64">
        <v>0</v>
      </c>
      <c r="F33" s="64">
        <v>0</v>
      </c>
      <c r="G33" s="64">
        <v>0.211900385</v>
      </c>
      <c r="H33" s="64">
        <v>0.211900385</v>
      </c>
      <c r="I33" s="32"/>
      <c r="J33" s="24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/>
      <c r="X33" s="35"/>
      <c r="Y33" s="35"/>
      <c r="Z33" s="35"/>
      <c r="AA33" s="35"/>
      <c r="AB33" s="35"/>
      <c r="AC33" s="32"/>
      <c r="AD33" s="32"/>
      <c r="AE33" s="32"/>
      <c r="AF33" s="32"/>
      <c r="AG33" s="32"/>
      <c r="AH33" s="33"/>
    </row>
    <row r="34" spans="1:34" x14ac:dyDescent="0.2">
      <c r="A34" s="62">
        <v>104717</v>
      </c>
      <c r="B34" s="62" t="s">
        <v>9</v>
      </c>
      <c r="C34" s="63">
        <v>35</v>
      </c>
      <c r="D34" s="64">
        <v>1.6588650857142857E-2</v>
      </c>
      <c r="E34" s="64">
        <v>3.6204491818973031E-4</v>
      </c>
      <c r="F34" s="64">
        <v>6.1196760602177651E-5</v>
      </c>
      <c r="G34" s="64">
        <v>1.6421681960232901E-2</v>
      </c>
      <c r="H34" s="64">
        <v>1.6755619754052813E-2</v>
      </c>
      <c r="I34" s="32"/>
      <c r="J34" s="2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/>
      <c r="X34" s="35"/>
      <c r="Y34" s="35"/>
      <c r="Z34" s="35"/>
      <c r="AA34" s="35"/>
      <c r="AB34" s="35"/>
      <c r="AC34" s="32"/>
      <c r="AD34" s="32"/>
      <c r="AE34" s="32"/>
      <c r="AF34" s="32"/>
      <c r="AG34" s="32"/>
      <c r="AH34" s="33"/>
    </row>
    <row r="35" spans="1:34" x14ac:dyDescent="0.2">
      <c r="A35" s="62">
        <v>104717</v>
      </c>
      <c r="B35" s="62" t="s">
        <v>10</v>
      </c>
      <c r="C35" s="63">
        <v>35</v>
      </c>
      <c r="D35" s="64">
        <v>442.67868966794293</v>
      </c>
      <c r="E35" s="64">
        <v>2.3046111435418006</v>
      </c>
      <c r="F35" s="64">
        <v>0.38955038269182096</v>
      </c>
      <c r="G35" s="64">
        <v>441.61584259811633</v>
      </c>
      <c r="H35" s="64">
        <v>443.74153673776954</v>
      </c>
      <c r="I35" s="32"/>
      <c r="J35" s="24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3"/>
      <c r="X35" s="35"/>
      <c r="Y35" s="35"/>
      <c r="Z35" s="35"/>
      <c r="AA35" s="35"/>
      <c r="AB35" s="35"/>
      <c r="AC35" s="32"/>
      <c r="AD35" s="32"/>
      <c r="AE35" s="32"/>
      <c r="AF35" s="32"/>
      <c r="AG35" s="32"/>
      <c r="AH35" s="33"/>
    </row>
    <row r="36" spans="1:34" x14ac:dyDescent="0.2">
      <c r="A36" s="62">
        <v>104717</v>
      </c>
      <c r="B36" s="62" t="s">
        <v>11</v>
      </c>
      <c r="C36" s="63">
        <v>35</v>
      </c>
      <c r="D36" s="64">
        <v>1634.4001142251716</v>
      </c>
      <c r="E36" s="64">
        <v>4.3711559648804821</v>
      </c>
      <c r="F36" s="64">
        <v>0.73886021236013466</v>
      </c>
      <c r="G36" s="64">
        <v>1632.3842121837156</v>
      </c>
      <c r="H36" s="64">
        <v>1636.4160162666276</v>
      </c>
      <c r="I36" s="32"/>
      <c r="J36" s="2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3"/>
      <c r="X36" s="35"/>
      <c r="Y36" s="35"/>
      <c r="Z36" s="35"/>
      <c r="AA36" s="35"/>
      <c r="AB36" s="35"/>
      <c r="AC36" s="32"/>
      <c r="AD36" s="32"/>
      <c r="AE36" s="32"/>
      <c r="AF36" s="32"/>
      <c r="AG36" s="32"/>
      <c r="AH36" s="33"/>
    </row>
    <row r="37" spans="1:34" ht="13.5" thickBot="1" x14ac:dyDescent="0.25">
      <c r="A37" s="38"/>
      <c r="B37" s="39"/>
      <c r="C37" s="39"/>
      <c r="D37" s="40"/>
      <c r="E37" s="40"/>
      <c r="F37" s="39"/>
      <c r="G37" s="39"/>
      <c r="H37" s="39"/>
      <c r="I37" s="39"/>
      <c r="J37" s="2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41"/>
      <c r="X37" s="43"/>
      <c r="Y37" s="43"/>
      <c r="Z37" s="43"/>
      <c r="AA37" s="43"/>
      <c r="AB37" s="43"/>
      <c r="AC37" s="39"/>
      <c r="AD37" s="39"/>
      <c r="AE37" s="39"/>
      <c r="AF37" s="39"/>
      <c r="AG37" s="39"/>
      <c r="AH37" s="41"/>
    </row>
    <row r="38" spans="1:34" ht="13.5" thickBot="1" x14ac:dyDescent="0.25">
      <c r="X38" s="45"/>
      <c r="Y38" s="45"/>
      <c r="Z38" s="45"/>
      <c r="AA38" s="45"/>
      <c r="AB38" s="45"/>
    </row>
    <row r="39" spans="1:34" s="23" customFormat="1" ht="13.5" thickBot="1" x14ac:dyDescent="0.25">
      <c r="A39" s="72"/>
      <c r="B39" s="71"/>
      <c r="C39" s="71"/>
      <c r="D39" s="71"/>
      <c r="E39" s="71"/>
      <c r="F39" s="71"/>
      <c r="G39" s="71"/>
      <c r="H39" s="71"/>
      <c r="I39" s="71"/>
      <c r="J39" s="71" t="s">
        <v>54</v>
      </c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3"/>
    </row>
    <row r="40" spans="1:34" s="23" customFormat="1" ht="13.5" thickBot="1" x14ac:dyDescent="0.25">
      <c r="A40" s="60" t="s">
        <v>16</v>
      </c>
      <c r="B40" s="60" t="s">
        <v>41</v>
      </c>
      <c r="C40" s="60" t="s">
        <v>3</v>
      </c>
      <c r="D40" s="60" t="s">
        <v>43</v>
      </c>
      <c r="E40" s="60" t="s">
        <v>44</v>
      </c>
      <c r="F40" s="61" t="s">
        <v>45</v>
      </c>
      <c r="G40" s="61" t="s">
        <v>46</v>
      </c>
      <c r="H40" s="61" t="s">
        <v>47</v>
      </c>
      <c r="I40" s="21"/>
      <c r="J40" s="56" t="s">
        <v>12</v>
      </c>
      <c r="K40" s="67">
        <v>1000</v>
      </c>
      <c r="L40" s="67">
        <v>3000</v>
      </c>
      <c r="M40" s="67">
        <v>5000</v>
      </c>
      <c r="N40" s="68">
        <f>K$2</f>
        <v>1000</v>
      </c>
      <c r="O40" s="68">
        <f t="shared" ref="O40" si="30">L$2</f>
        <v>3000</v>
      </c>
      <c r="P40" s="68">
        <f t="shared" ref="P40" si="31">M$2</f>
        <v>5000</v>
      </c>
      <c r="Q40" s="69">
        <f>K$2</f>
        <v>1000</v>
      </c>
      <c r="R40" s="69">
        <f t="shared" ref="R40" si="32">L$2</f>
        <v>3000</v>
      </c>
      <c r="S40" s="69">
        <f t="shared" ref="S40" si="33">M$2</f>
        <v>5000</v>
      </c>
      <c r="T40" s="70">
        <f>K$2</f>
        <v>1000</v>
      </c>
      <c r="U40" s="70">
        <f>L$2</f>
        <v>3000</v>
      </c>
      <c r="V40" s="70">
        <f>M$2</f>
        <v>5000</v>
      </c>
      <c r="W40" s="22"/>
      <c r="X40" s="30"/>
      <c r="Y40" s="30"/>
      <c r="Z40" s="30"/>
      <c r="AA40" s="30"/>
      <c r="AB40" s="30"/>
      <c r="AC40" s="28"/>
      <c r="AD40" s="28"/>
      <c r="AE40" s="28"/>
      <c r="AF40" s="28"/>
      <c r="AG40" s="28"/>
      <c r="AH40" s="29"/>
    </row>
    <row r="41" spans="1:34" x14ac:dyDescent="0.2">
      <c r="A41" s="62">
        <v>21052</v>
      </c>
      <c r="B41" s="62" t="s">
        <v>8</v>
      </c>
      <c r="C41" s="63">
        <v>1</v>
      </c>
      <c r="D41" s="64">
        <v>135408.56190500001</v>
      </c>
      <c r="E41" s="64">
        <v>0</v>
      </c>
      <c r="F41" s="64">
        <v>0</v>
      </c>
      <c r="G41" s="64">
        <v>135408.56190500001</v>
      </c>
      <c r="H41" s="64">
        <v>135408.56190500001</v>
      </c>
      <c r="I41" s="32"/>
      <c r="J41" s="24"/>
      <c r="K41" s="32"/>
      <c r="L41" s="32"/>
      <c r="M41" s="32"/>
      <c r="N41" s="32"/>
      <c r="O41" s="32"/>
      <c r="P41" s="32"/>
      <c r="Q41" s="32"/>
      <c r="R41" s="32"/>
      <c r="S41" s="32"/>
      <c r="T41" s="51">
        <f>$D$41</f>
        <v>135408.56190500001</v>
      </c>
      <c r="U41" s="51">
        <f>$D$46</f>
        <v>405260.57230399997</v>
      </c>
      <c r="V41" s="51">
        <f>$D$51</f>
        <v>669538.45372400002</v>
      </c>
      <c r="W41" s="33"/>
      <c r="X41" s="35"/>
      <c r="Y41" s="35"/>
      <c r="Z41" s="35"/>
      <c r="AA41" s="35"/>
      <c r="AB41" s="35"/>
      <c r="AC41" s="32"/>
      <c r="AD41" s="32"/>
      <c r="AE41" s="32"/>
      <c r="AF41" s="32"/>
      <c r="AG41" s="32"/>
      <c r="AH41" s="33"/>
    </row>
    <row r="42" spans="1:34" x14ac:dyDescent="0.2">
      <c r="A42" s="62">
        <v>21052</v>
      </c>
      <c r="B42" s="62" t="s">
        <v>5</v>
      </c>
      <c r="C42" s="63">
        <v>1</v>
      </c>
      <c r="D42" s="64">
        <v>110361.688308</v>
      </c>
      <c r="E42" s="64">
        <v>0</v>
      </c>
      <c r="F42" s="64">
        <v>0</v>
      </c>
      <c r="G42" s="64">
        <v>110361.688308</v>
      </c>
      <c r="H42" s="64">
        <v>110361.688308</v>
      </c>
      <c r="I42" s="32"/>
      <c r="J42" s="24" t="s">
        <v>0</v>
      </c>
      <c r="K42" s="51">
        <f>$D42</f>
        <v>110361.688308</v>
      </c>
      <c r="L42" s="51">
        <f>$D47</f>
        <v>328323.96620000002</v>
      </c>
      <c r="M42" s="51">
        <f>$D52</f>
        <v>541822.39735800005</v>
      </c>
      <c r="N42" s="55">
        <f>$D42-$G42</f>
        <v>0</v>
      </c>
      <c r="O42" s="55">
        <f>$D47-$G47</f>
        <v>0</v>
      </c>
      <c r="P42" s="55">
        <f>$D52-$G52</f>
        <v>0</v>
      </c>
      <c r="Q42" s="55">
        <f>-$D42+$H42</f>
        <v>0</v>
      </c>
      <c r="R42" s="55">
        <f>-$D47+$H47</f>
        <v>0</v>
      </c>
      <c r="S42" s="55">
        <f>-$D52+$H52</f>
        <v>0</v>
      </c>
      <c r="T42" s="51">
        <f t="shared" ref="T42:T46" si="34">$D$41</f>
        <v>135408.56190500001</v>
      </c>
      <c r="U42" s="51">
        <f t="shared" ref="U42:U46" si="35">$D$46</f>
        <v>405260.57230399997</v>
      </c>
      <c r="V42" s="51">
        <f t="shared" ref="V42:V46" si="36">$D$51</f>
        <v>669538.45372400002</v>
      </c>
      <c r="W42" s="33"/>
      <c r="X42" s="35"/>
      <c r="Y42" s="35"/>
      <c r="Z42" s="35"/>
      <c r="AA42" s="35"/>
      <c r="AB42" s="35"/>
      <c r="AC42" s="32"/>
      <c r="AD42" s="32"/>
      <c r="AE42" s="32"/>
      <c r="AF42" s="32"/>
      <c r="AG42" s="32"/>
      <c r="AH42" s="33"/>
    </row>
    <row r="43" spans="1:34" x14ac:dyDescent="0.2">
      <c r="A43" s="62">
        <v>21052</v>
      </c>
      <c r="B43" s="62" t="s">
        <v>9</v>
      </c>
      <c r="C43" s="63">
        <v>35</v>
      </c>
      <c r="D43" s="64">
        <v>157506.1131835714</v>
      </c>
      <c r="E43" s="64">
        <v>500.21773130479852</v>
      </c>
      <c r="F43" s="64">
        <v>84.55222878057927</v>
      </c>
      <c r="G43" s="64">
        <v>157275.42135884319</v>
      </c>
      <c r="H43" s="64">
        <v>157736.80500829962</v>
      </c>
      <c r="I43" s="32"/>
      <c r="J43" s="24" t="s">
        <v>14</v>
      </c>
      <c r="K43" s="51">
        <f t="shared" ref="K43:K45" si="37">$D43</f>
        <v>157506.1131835714</v>
      </c>
      <c r="L43" s="51">
        <f t="shared" ref="L43:L45" si="38">$D48</f>
        <v>470114.31988994288</v>
      </c>
      <c r="M43" s="51">
        <f t="shared" ref="M43:M45" si="39">$D53</f>
        <v>779559.45165854273</v>
      </c>
      <c r="N43" s="55">
        <f t="shared" ref="N43:N45" si="40">$D43-$G43</f>
        <v>230.69182472821558</v>
      </c>
      <c r="O43" s="55">
        <f t="shared" ref="O43:O45" si="41">$D48-$G48</f>
        <v>446.98669483239064</v>
      </c>
      <c r="P43" s="55">
        <f t="shared" ref="P43:P45" si="42">$D53-$G53</f>
        <v>471.28558365348727</v>
      </c>
      <c r="Q43" s="55">
        <f t="shared" ref="Q43:Q45" si="43">-$D43+$H43</f>
        <v>230.69182472821558</v>
      </c>
      <c r="R43" s="55">
        <f t="shared" ref="R43:R45" si="44">-$D48+$H48</f>
        <v>446.98669483239064</v>
      </c>
      <c r="S43" s="55">
        <f t="shared" ref="S43:S45" si="45">-$D53+$H53</f>
        <v>471.28558365348727</v>
      </c>
      <c r="T43" s="51">
        <f t="shared" si="34"/>
        <v>135408.56190500001</v>
      </c>
      <c r="U43" s="51">
        <f t="shared" si="35"/>
        <v>405260.57230399997</v>
      </c>
      <c r="V43" s="51">
        <f t="shared" si="36"/>
        <v>669538.45372400002</v>
      </c>
      <c r="W43" s="33"/>
      <c r="X43" s="35"/>
      <c r="Y43" s="35"/>
      <c r="Z43" s="35"/>
      <c r="AA43" s="35"/>
      <c r="AB43" s="35"/>
      <c r="AC43" s="32"/>
      <c r="AD43" s="32"/>
      <c r="AE43" s="32"/>
      <c r="AF43" s="32"/>
      <c r="AG43" s="32"/>
      <c r="AH43" s="33"/>
    </row>
    <row r="44" spans="1:34" x14ac:dyDescent="0.2">
      <c r="A44" s="62">
        <v>21052</v>
      </c>
      <c r="B44" s="62" t="s">
        <v>10</v>
      </c>
      <c r="C44" s="63">
        <v>35</v>
      </c>
      <c r="D44" s="64">
        <v>111451.81272548572</v>
      </c>
      <c r="E44" s="64">
        <v>331.61990151304701</v>
      </c>
      <c r="F44" s="64">
        <v>56.053994143280661</v>
      </c>
      <c r="G44" s="64">
        <v>111298.87532361338</v>
      </c>
      <c r="H44" s="64">
        <v>111604.75012735807</v>
      </c>
      <c r="I44" s="32"/>
      <c r="J44" s="24" t="s">
        <v>1</v>
      </c>
      <c r="K44" s="51">
        <f t="shared" si="37"/>
        <v>111451.81272548572</v>
      </c>
      <c r="L44" s="51">
        <f t="shared" si="38"/>
        <v>332036.4237469142</v>
      </c>
      <c r="M44" s="51">
        <f t="shared" si="39"/>
        <v>547833.7451625712</v>
      </c>
      <c r="N44" s="55">
        <f t="shared" si="40"/>
        <v>152.93740187234653</v>
      </c>
      <c r="O44" s="55">
        <f t="shared" si="41"/>
        <v>284.64590084325755</v>
      </c>
      <c r="P44" s="55">
        <f t="shared" si="42"/>
        <v>379.20048564323224</v>
      </c>
      <c r="Q44" s="55">
        <f t="shared" si="43"/>
        <v>152.93740187234653</v>
      </c>
      <c r="R44" s="55">
        <f t="shared" si="44"/>
        <v>284.64590084325755</v>
      </c>
      <c r="S44" s="55">
        <f t="shared" si="45"/>
        <v>379.20048564323224</v>
      </c>
      <c r="T44" s="51">
        <f t="shared" si="34"/>
        <v>135408.56190500001</v>
      </c>
      <c r="U44" s="51">
        <f t="shared" si="35"/>
        <v>405260.57230399997</v>
      </c>
      <c r="V44" s="51">
        <f t="shared" si="36"/>
        <v>669538.45372400002</v>
      </c>
      <c r="W44" s="47"/>
      <c r="X44" s="35"/>
      <c r="Y44" s="35"/>
      <c r="Z44" s="35"/>
      <c r="AA44" s="35"/>
      <c r="AB44" s="35"/>
      <c r="AC44" s="32"/>
      <c r="AD44" s="32"/>
      <c r="AE44" s="32"/>
      <c r="AF44" s="32"/>
      <c r="AG44" s="32"/>
      <c r="AH44" s="33"/>
    </row>
    <row r="45" spans="1:34" x14ac:dyDescent="0.2">
      <c r="A45" s="62">
        <v>21052</v>
      </c>
      <c r="B45" s="62" t="s">
        <v>11</v>
      </c>
      <c r="C45" s="63">
        <v>35</v>
      </c>
      <c r="D45" s="64">
        <v>111677.58110014282</v>
      </c>
      <c r="E45" s="64">
        <v>363.05327694484265</v>
      </c>
      <c r="F45" s="64">
        <v>61.367204340612844</v>
      </c>
      <c r="G45" s="64">
        <v>111510.14716549702</v>
      </c>
      <c r="H45" s="64">
        <v>111845.01503478862</v>
      </c>
      <c r="I45" s="32"/>
      <c r="J45" s="24" t="s">
        <v>15</v>
      </c>
      <c r="K45" s="51">
        <f t="shared" si="37"/>
        <v>111677.58110014282</v>
      </c>
      <c r="L45" s="51">
        <f t="shared" si="38"/>
        <v>332915.91143534298</v>
      </c>
      <c r="M45" s="51">
        <f t="shared" si="39"/>
        <v>549335.18862442859</v>
      </c>
      <c r="N45" s="55">
        <f t="shared" si="40"/>
        <v>167.43393464580004</v>
      </c>
      <c r="O45" s="55">
        <f t="shared" si="41"/>
        <v>270.20569422905101</v>
      </c>
      <c r="P45" s="55">
        <f t="shared" si="42"/>
        <v>461.46405710815452</v>
      </c>
      <c r="Q45" s="55">
        <f t="shared" si="43"/>
        <v>167.43393464580004</v>
      </c>
      <c r="R45" s="55">
        <f t="shared" si="44"/>
        <v>270.20569422905101</v>
      </c>
      <c r="S45" s="55">
        <f t="shared" si="45"/>
        <v>461.46405710815452</v>
      </c>
      <c r="T45" s="51">
        <f t="shared" si="34"/>
        <v>135408.56190500001</v>
      </c>
      <c r="U45" s="51">
        <f t="shared" si="35"/>
        <v>405260.57230399997</v>
      </c>
      <c r="V45" s="51">
        <f t="shared" si="36"/>
        <v>669538.45372400002</v>
      </c>
      <c r="W45" s="47"/>
      <c r="X45" s="35"/>
      <c r="Y45" s="35"/>
      <c r="Z45" s="35"/>
      <c r="AA45" s="35"/>
      <c r="AB45" s="35"/>
      <c r="AC45" s="32"/>
      <c r="AD45" s="32"/>
      <c r="AE45" s="32"/>
      <c r="AF45" s="32"/>
      <c r="AG45" s="32"/>
      <c r="AH45" s="33"/>
    </row>
    <row r="46" spans="1:34" x14ac:dyDescent="0.2">
      <c r="A46" s="62">
        <v>62936</v>
      </c>
      <c r="B46" s="62" t="s">
        <v>8</v>
      </c>
      <c r="C46" s="63">
        <v>1</v>
      </c>
      <c r="D46" s="64">
        <v>405260.57230399997</v>
      </c>
      <c r="E46" s="64">
        <v>0</v>
      </c>
      <c r="F46" s="64">
        <v>0</v>
      </c>
      <c r="G46" s="64">
        <v>405260.57230399997</v>
      </c>
      <c r="H46" s="64">
        <v>405260.57230399997</v>
      </c>
      <c r="I46" s="32"/>
      <c r="J46" s="24"/>
      <c r="K46" s="32"/>
      <c r="L46" s="32"/>
      <c r="M46" s="32"/>
      <c r="N46" s="32"/>
      <c r="O46" s="32"/>
      <c r="P46" s="32"/>
      <c r="T46" s="51">
        <f t="shared" si="34"/>
        <v>135408.56190500001</v>
      </c>
      <c r="U46" s="51">
        <f t="shared" si="35"/>
        <v>405260.57230399997</v>
      </c>
      <c r="V46" s="51">
        <f t="shared" si="36"/>
        <v>669538.45372400002</v>
      </c>
      <c r="W46" s="33"/>
      <c r="X46" s="35"/>
      <c r="Y46" s="35"/>
      <c r="Z46" s="35"/>
      <c r="AA46" s="35"/>
      <c r="AB46" s="35"/>
      <c r="AC46" s="32"/>
      <c r="AD46" s="32"/>
      <c r="AE46" s="32"/>
      <c r="AF46" s="32"/>
      <c r="AG46" s="32"/>
      <c r="AH46" s="33"/>
    </row>
    <row r="47" spans="1:34" x14ac:dyDescent="0.2">
      <c r="A47" s="62">
        <v>62936</v>
      </c>
      <c r="B47" s="62" t="s">
        <v>5</v>
      </c>
      <c r="C47" s="63">
        <v>1</v>
      </c>
      <c r="D47" s="64">
        <v>328323.96620000002</v>
      </c>
      <c r="E47" s="64">
        <v>0</v>
      </c>
      <c r="F47" s="64">
        <v>0</v>
      </c>
      <c r="G47" s="64">
        <v>328323.96620000002</v>
      </c>
      <c r="H47" s="64">
        <v>328323.96620000002</v>
      </c>
      <c r="I47" s="32"/>
      <c r="J47" s="24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3"/>
      <c r="X47" s="35"/>
      <c r="Y47" s="35"/>
      <c r="Z47" s="35"/>
      <c r="AA47" s="35"/>
      <c r="AB47" s="35"/>
      <c r="AC47" s="32"/>
      <c r="AD47" s="32"/>
      <c r="AE47" s="32"/>
      <c r="AF47" s="32"/>
      <c r="AG47" s="32"/>
      <c r="AH47" s="33"/>
    </row>
    <row r="48" spans="1:34" x14ac:dyDescent="0.2">
      <c r="A48" s="62">
        <v>62936</v>
      </c>
      <c r="B48" s="62" t="s">
        <v>9</v>
      </c>
      <c r="C48" s="63">
        <v>35</v>
      </c>
      <c r="D48" s="64">
        <v>470114.31988994288</v>
      </c>
      <c r="E48" s="64">
        <v>969.21800621208115</v>
      </c>
      <c r="F48" s="64">
        <v>163.82774434192604</v>
      </c>
      <c r="G48" s="64">
        <v>469667.33319511049</v>
      </c>
      <c r="H48" s="64">
        <v>470561.30658477527</v>
      </c>
      <c r="I48" s="32"/>
      <c r="J48" s="2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3"/>
      <c r="X48" s="35"/>
      <c r="Y48" s="35"/>
      <c r="Z48" s="35"/>
      <c r="AA48" s="35"/>
      <c r="AB48" s="35"/>
      <c r="AC48" s="32"/>
      <c r="AD48" s="32"/>
      <c r="AE48" s="32"/>
      <c r="AF48" s="32"/>
      <c r="AG48" s="32"/>
      <c r="AH48" s="33"/>
    </row>
    <row r="49" spans="1:34" x14ac:dyDescent="0.2">
      <c r="A49" s="62">
        <v>62936</v>
      </c>
      <c r="B49" s="62" t="s">
        <v>10</v>
      </c>
      <c r="C49" s="63">
        <v>35</v>
      </c>
      <c r="D49" s="64">
        <v>332036.4237469142</v>
      </c>
      <c r="E49" s="64">
        <v>617.20837707530666</v>
      </c>
      <c r="F49" s="64">
        <v>104.32725718785561</v>
      </c>
      <c r="G49" s="64">
        <v>331751.77784607094</v>
      </c>
      <c r="H49" s="64">
        <v>332321.06964775745</v>
      </c>
      <c r="I49" s="32"/>
      <c r="J49" s="24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3"/>
      <c r="X49" s="35"/>
      <c r="Y49" s="35"/>
      <c r="Z49" s="35"/>
      <c r="AA49" s="35"/>
      <c r="AB49" s="35"/>
      <c r="AC49" s="32"/>
      <c r="AD49" s="32"/>
      <c r="AE49" s="32"/>
      <c r="AF49" s="32"/>
      <c r="AG49" s="32"/>
      <c r="AH49" s="33"/>
    </row>
    <row r="50" spans="1:34" x14ac:dyDescent="0.2">
      <c r="A50" s="62">
        <v>62936</v>
      </c>
      <c r="B50" s="62" t="s">
        <v>11</v>
      </c>
      <c r="C50" s="63">
        <v>35</v>
      </c>
      <c r="D50" s="64">
        <v>332915.91143534298</v>
      </c>
      <c r="E50" s="64">
        <v>585.89713576604686</v>
      </c>
      <c r="F50" s="64">
        <v>99.034691425185159</v>
      </c>
      <c r="G50" s="64">
        <v>332645.70574111392</v>
      </c>
      <c r="H50" s="64">
        <v>333186.11712957203</v>
      </c>
      <c r="I50" s="32"/>
      <c r="J50" s="2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3"/>
      <c r="X50" s="35"/>
      <c r="Y50" s="35"/>
      <c r="Z50" s="35"/>
      <c r="AA50" s="35"/>
      <c r="AB50" s="35"/>
      <c r="AC50" s="32"/>
      <c r="AD50" s="32"/>
      <c r="AE50" s="32"/>
      <c r="AF50" s="32"/>
      <c r="AG50" s="32"/>
      <c r="AH50" s="33"/>
    </row>
    <row r="51" spans="1:34" x14ac:dyDescent="0.2">
      <c r="A51" s="62">
        <v>104717</v>
      </c>
      <c r="B51" s="62" t="s">
        <v>8</v>
      </c>
      <c r="C51" s="63">
        <v>1</v>
      </c>
      <c r="D51" s="64">
        <v>669538.45372400002</v>
      </c>
      <c r="E51" s="64">
        <v>0</v>
      </c>
      <c r="F51" s="64">
        <v>0</v>
      </c>
      <c r="G51" s="64">
        <v>669538.45372400002</v>
      </c>
      <c r="H51" s="64">
        <v>669538.45372400002</v>
      </c>
      <c r="I51" s="32"/>
      <c r="J51" s="24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3"/>
      <c r="X51" s="35"/>
      <c r="Y51" s="35"/>
      <c r="Z51" s="35"/>
      <c r="AA51" s="35"/>
      <c r="AB51" s="35"/>
      <c r="AC51" s="32"/>
      <c r="AD51" s="32"/>
      <c r="AE51" s="32"/>
      <c r="AF51" s="32"/>
      <c r="AG51" s="32"/>
      <c r="AH51" s="33"/>
    </row>
    <row r="52" spans="1:34" x14ac:dyDescent="0.2">
      <c r="A52" s="62">
        <v>104717</v>
      </c>
      <c r="B52" s="62" t="s">
        <v>5</v>
      </c>
      <c r="C52" s="63">
        <v>1</v>
      </c>
      <c r="D52" s="64">
        <v>541822.39735800005</v>
      </c>
      <c r="E52" s="64">
        <v>0</v>
      </c>
      <c r="F52" s="64">
        <v>0</v>
      </c>
      <c r="G52" s="64">
        <v>541822.39735800005</v>
      </c>
      <c r="H52" s="64">
        <v>541822.39735800005</v>
      </c>
      <c r="I52" s="32"/>
      <c r="J52" s="24"/>
      <c r="K52" s="32"/>
      <c r="L52" s="32"/>
      <c r="M52" s="32"/>
      <c r="N52" s="32"/>
      <c r="O52" s="37"/>
      <c r="P52" s="32"/>
      <c r="Q52" s="32"/>
      <c r="R52" s="32"/>
      <c r="S52" s="32"/>
      <c r="T52" s="32"/>
      <c r="U52" s="32"/>
      <c r="V52" s="32"/>
      <c r="W52" s="33"/>
      <c r="X52" s="35"/>
      <c r="Y52" s="35"/>
      <c r="Z52" s="35"/>
      <c r="AA52" s="35"/>
      <c r="AB52" s="35"/>
      <c r="AC52" s="32"/>
      <c r="AD52" s="32"/>
      <c r="AE52" s="32"/>
      <c r="AF52" s="32"/>
      <c r="AG52" s="32"/>
      <c r="AH52" s="33"/>
    </row>
    <row r="53" spans="1:34" x14ac:dyDescent="0.2">
      <c r="A53" s="62">
        <v>104717</v>
      </c>
      <c r="B53" s="62" t="s">
        <v>9</v>
      </c>
      <c r="C53" s="63">
        <v>35</v>
      </c>
      <c r="D53" s="64">
        <v>779559.45165854273</v>
      </c>
      <c r="E53" s="64">
        <v>1021.9061977144614</v>
      </c>
      <c r="F53" s="64">
        <v>172.73367418636354</v>
      </c>
      <c r="G53" s="64">
        <v>779088.16607488925</v>
      </c>
      <c r="H53" s="64">
        <v>780030.73724219622</v>
      </c>
      <c r="I53" s="32"/>
      <c r="J53" s="24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3"/>
      <c r="X53" s="35"/>
      <c r="Y53" s="35"/>
      <c r="Z53" s="35"/>
      <c r="AA53" s="35"/>
      <c r="AB53" s="35"/>
      <c r="AC53" s="32"/>
      <c r="AD53" s="32"/>
      <c r="AE53" s="32"/>
      <c r="AF53" s="32"/>
      <c r="AG53" s="32"/>
      <c r="AH53" s="33"/>
    </row>
    <row r="54" spans="1:34" x14ac:dyDescent="0.2">
      <c r="A54" s="62">
        <v>104717</v>
      </c>
      <c r="B54" s="62" t="s">
        <v>10</v>
      </c>
      <c r="C54" s="63">
        <v>35</v>
      </c>
      <c r="D54" s="64">
        <v>547833.7451625712</v>
      </c>
      <c r="E54" s="64">
        <v>822.23462778368423</v>
      </c>
      <c r="F54" s="64">
        <v>138.98301881129979</v>
      </c>
      <c r="G54" s="64">
        <v>547454.54467692797</v>
      </c>
      <c r="H54" s="64">
        <v>548212.94564821443</v>
      </c>
      <c r="I54" s="32"/>
      <c r="J54" s="2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3"/>
      <c r="X54" s="35"/>
      <c r="Y54" s="35"/>
      <c r="Z54" s="35"/>
      <c r="AA54" s="35"/>
      <c r="AB54" s="35"/>
      <c r="AC54" s="32"/>
      <c r="AD54" s="32"/>
      <c r="AE54" s="32"/>
      <c r="AF54" s="32"/>
      <c r="AG54" s="32"/>
      <c r="AH54" s="33"/>
    </row>
    <row r="55" spans="1:34" x14ac:dyDescent="0.2">
      <c r="A55" s="62">
        <v>104717</v>
      </c>
      <c r="B55" s="62" t="s">
        <v>11</v>
      </c>
      <c r="C55" s="63">
        <v>35</v>
      </c>
      <c r="D55" s="64">
        <v>549335.18862442859</v>
      </c>
      <c r="E55" s="64">
        <v>1000.609813535095</v>
      </c>
      <c r="F55" s="64">
        <v>169.13392824645862</v>
      </c>
      <c r="G55" s="64">
        <v>548873.72456732043</v>
      </c>
      <c r="H55" s="64">
        <v>549796.65268153674</v>
      </c>
      <c r="I55" s="32"/>
      <c r="J55" s="24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3"/>
      <c r="X55" s="35"/>
      <c r="Y55" s="35"/>
      <c r="Z55" s="35"/>
      <c r="AA55" s="35"/>
      <c r="AB55" s="35"/>
      <c r="AC55" s="32"/>
      <c r="AD55" s="32"/>
      <c r="AE55" s="32"/>
      <c r="AF55" s="32"/>
      <c r="AG55" s="32"/>
      <c r="AH55" s="33"/>
    </row>
    <row r="56" spans="1:34" ht="13.5" thickBot="1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28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41"/>
      <c r="X56" s="43"/>
      <c r="Y56" s="43"/>
      <c r="Z56" s="43"/>
      <c r="AA56" s="43"/>
      <c r="AB56" s="43"/>
      <c r="AC56" s="39"/>
      <c r="AD56" s="39"/>
      <c r="AE56" s="39"/>
      <c r="AF56" s="39"/>
      <c r="AG56" s="39"/>
      <c r="AH56" s="41"/>
    </row>
    <row r="57" spans="1:34" ht="13.5" thickBot="1" x14ac:dyDescent="0.25">
      <c r="A57" s="32"/>
      <c r="B57" s="32"/>
      <c r="C57" s="32"/>
      <c r="D57" s="36"/>
      <c r="E57" s="36"/>
      <c r="F57" s="32"/>
      <c r="G57" s="32"/>
      <c r="H57" s="32"/>
      <c r="I57" s="32"/>
      <c r="J57" s="24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5"/>
      <c r="Y57" s="35"/>
      <c r="Z57" s="35"/>
      <c r="AA57" s="35"/>
      <c r="AB57" s="35"/>
      <c r="AC57" s="32"/>
      <c r="AD57" s="32"/>
      <c r="AE57" s="32"/>
      <c r="AF57" s="32"/>
      <c r="AG57" s="32"/>
      <c r="AH57" s="32"/>
    </row>
    <row r="58" spans="1:34" s="23" customFormat="1" ht="13.5" thickBot="1" x14ac:dyDescent="0.25">
      <c r="A58" s="72"/>
      <c r="B58" s="71"/>
      <c r="C58" s="71"/>
      <c r="D58" s="71"/>
      <c r="E58" s="71"/>
      <c r="F58" s="71"/>
      <c r="G58" s="71"/>
      <c r="H58" s="71"/>
      <c r="I58" s="71"/>
      <c r="J58" s="71" t="s">
        <v>40</v>
      </c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3"/>
    </row>
    <row r="59" spans="1:34" s="23" customFormat="1" ht="13.5" thickBot="1" x14ac:dyDescent="0.25">
      <c r="A59" s="18" t="s">
        <v>16</v>
      </c>
      <c r="B59" s="19" t="s">
        <v>41</v>
      </c>
      <c r="C59" s="19" t="s">
        <v>3</v>
      </c>
      <c r="D59" s="19" t="s">
        <v>43</v>
      </c>
      <c r="E59" s="19" t="s">
        <v>44</v>
      </c>
      <c r="F59" s="19" t="s">
        <v>45</v>
      </c>
      <c r="G59" s="19" t="s">
        <v>46</v>
      </c>
      <c r="H59" s="19" t="s">
        <v>47</v>
      </c>
      <c r="I59" s="21"/>
      <c r="J59" s="56" t="s">
        <v>12</v>
      </c>
      <c r="K59" s="67">
        <v>1000</v>
      </c>
      <c r="L59" s="67">
        <v>3000</v>
      </c>
      <c r="M59" s="67">
        <v>5000</v>
      </c>
      <c r="N59" s="68">
        <f>K$2</f>
        <v>1000</v>
      </c>
      <c r="O59" s="68">
        <f t="shared" ref="O59" si="46">L$2</f>
        <v>3000</v>
      </c>
      <c r="P59" s="68">
        <f t="shared" ref="P59" si="47">M$2</f>
        <v>5000</v>
      </c>
      <c r="Q59" s="69">
        <f>K$2</f>
        <v>1000</v>
      </c>
      <c r="R59" s="69">
        <f t="shared" ref="R59" si="48">L$2</f>
        <v>3000</v>
      </c>
      <c r="S59" s="69">
        <f t="shared" ref="S59" si="49">M$2</f>
        <v>5000</v>
      </c>
      <c r="T59" s="70">
        <f>K$2</f>
        <v>1000</v>
      </c>
      <c r="U59" s="70">
        <f>L$2</f>
        <v>3000</v>
      </c>
      <c r="V59" s="70">
        <f>M$2</f>
        <v>5000</v>
      </c>
      <c r="W59" s="22"/>
      <c r="X59" s="30"/>
      <c r="Y59" s="30"/>
      <c r="Z59" s="30"/>
      <c r="AA59" s="30"/>
      <c r="AB59" s="30"/>
      <c r="AC59" s="28"/>
      <c r="AD59" s="28"/>
      <c r="AE59" s="28"/>
      <c r="AF59" s="28"/>
      <c r="AG59" s="28"/>
      <c r="AH59" s="29"/>
    </row>
    <row r="60" spans="1:34" x14ac:dyDescent="0.2">
      <c r="A60" s="62">
        <v>21052</v>
      </c>
      <c r="B60" s="62" t="s">
        <v>8</v>
      </c>
      <c r="C60" s="63">
        <v>1</v>
      </c>
      <c r="D60" s="64">
        <v>240.03955999999999</v>
      </c>
      <c r="E60" s="64">
        <v>0</v>
      </c>
      <c r="F60" s="64">
        <v>0</v>
      </c>
      <c r="G60" s="64">
        <v>240.03955999999999</v>
      </c>
      <c r="H60" s="64">
        <v>240.03955999999999</v>
      </c>
      <c r="I60" s="32"/>
      <c r="J60" s="24"/>
      <c r="K60" s="32"/>
      <c r="L60" s="32"/>
      <c r="M60" s="32"/>
      <c r="N60" s="32"/>
      <c r="O60" s="32"/>
      <c r="P60" s="32"/>
      <c r="Q60" s="32"/>
      <c r="R60" s="32"/>
      <c r="S60" s="32"/>
      <c r="T60" s="51">
        <f>$D$60</f>
        <v>240.03955999999999</v>
      </c>
      <c r="U60" s="51">
        <f>$D$65</f>
        <v>241.47233800000001</v>
      </c>
      <c r="V60" s="51">
        <f>$D$70</f>
        <v>241.34255999999999</v>
      </c>
      <c r="W60" s="33"/>
      <c r="X60" s="35"/>
      <c r="Y60" s="35"/>
      <c r="Z60" s="35"/>
      <c r="AA60" s="35"/>
      <c r="AB60" s="35"/>
      <c r="AC60" s="32"/>
      <c r="AD60" s="32"/>
      <c r="AE60" s="32"/>
      <c r="AF60" s="32"/>
      <c r="AG60" s="32"/>
      <c r="AH60" s="33"/>
    </row>
    <row r="61" spans="1:34" x14ac:dyDescent="0.2">
      <c r="A61" s="62">
        <v>21052</v>
      </c>
      <c r="B61" s="62" t="s">
        <v>5</v>
      </c>
      <c r="C61" s="63">
        <v>1</v>
      </c>
      <c r="D61" s="64">
        <v>259.23682600000001</v>
      </c>
      <c r="E61" s="64">
        <v>0</v>
      </c>
      <c r="F61" s="64">
        <v>0</v>
      </c>
      <c r="G61" s="64">
        <v>259.23682600000001</v>
      </c>
      <c r="H61" s="64">
        <v>259.23682600000001</v>
      </c>
      <c r="I61" s="32"/>
      <c r="J61" s="24" t="s">
        <v>0</v>
      </c>
      <c r="K61" s="51">
        <f>$D61</f>
        <v>259.23682600000001</v>
      </c>
      <c r="L61" s="51">
        <f>$D66</f>
        <v>260.091702</v>
      </c>
      <c r="M61" s="51">
        <f>$D71</f>
        <v>259.4633</v>
      </c>
      <c r="N61" s="55">
        <f>$D61-$G61</f>
        <v>0</v>
      </c>
      <c r="O61" s="55">
        <f>$D66-$G66</f>
        <v>0</v>
      </c>
      <c r="P61" s="55">
        <f>$D71-$G71</f>
        <v>0</v>
      </c>
      <c r="Q61" s="55">
        <f>-$D61+$H61</f>
        <v>0</v>
      </c>
      <c r="R61" s="55">
        <f>-$D66+$H66</f>
        <v>0</v>
      </c>
      <c r="S61" s="55">
        <f>-$D71+$H71</f>
        <v>0</v>
      </c>
      <c r="T61" s="51">
        <f t="shared" ref="T61:T65" si="50">$D$60</f>
        <v>240.03955999999999</v>
      </c>
      <c r="U61" s="51">
        <f t="shared" ref="U61:U65" si="51">$D$65</f>
        <v>241.47233800000001</v>
      </c>
      <c r="V61" s="51">
        <f t="shared" ref="V61:V65" si="52">$D$70</f>
        <v>241.34255999999999</v>
      </c>
      <c r="W61" s="33"/>
      <c r="X61" s="35"/>
      <c r="Y61" s="35"/>
      <c r="Z61" s="35"/>
      <c r="AA61" s="35"/>
      <c r="AB61" s="35"/>
      <c r="AC61" s="32"/>
      <c r="AD61" s="32"/>
      <c r="AE61" s="32"/>
      <c r="AF61" s="32"/>
      <c r="AG61" s="32"/>
      <c r="AH61" s="33"/>
    </row>
    <row r="62" spans="1:34" x14ac:dyDescent="0.2">
      <c r="A62" s="62">
        <v>21052</v>
      </c>
      <c r="B62" s="62" t="s">
        <v>9</v>
      </c>
      <c r="C62" s="63">
        <v>35</v>
      </c>
      <c r="D62" s="64">
        <v>278.44477879999999</v>
      </c>
      <c r="E62" s="64">
        <v>1.1854071971725677</v>
      </c>
      <c r="F62" s="64">
        <v>0.20037038725524023</v>
      </c>
      <c r="G62" s="64">
        <v>277.89808936408502</v>
      </c>
      <c r="H62" s="64">
        <v>278.99146823591497</v>
      </c>
      <c r="I62" s="32"/>
      <c r="J62" s="24" t="s">
        <v>14</v>
      </c>
      <c r="K62" s="51">
        <f t="shared" ref="K62:K64" si="53">$D62</f>
        <v>278.44477879999999</v>
      </c>
      <c r="L62" s="51">
        <f t="shared" ref="L62:L64" si="54">$D67</f>
        <v>279.09656231428568</v>
      </c>
      <c r="M62" s="51">
        <f t="shared" ref="M62:M64" si="55">$D72</f>
        <v>279.13472982857149</v>
      </c>
      <c r="N62" s="55">
        <f t="shared" ref="N62:N64" si="56">$D62-$G62</f>
        <v>0.54668943591497055</v>
      </c>
      <c r="O62" s="55">
        <f t="shared" ref="O62:O64" si="57">$D67-$G67</f>
        <v>0.31012139625329382</v>
      </c>
      <c r="P62" s="55">
        <f t="shared" ref="P62:P64" si="58">$D72-$G72</f>
        <v>0.19211045452055941</v>
      </c>
      <c r="Q62" s="55">
        <f t="shared" ref="Q62:Q64" si="59">-$D62+$H62</f>
        <v>0.54668943591497055</v>
      </c>
      <c r="R62" s="55">
        <f t="shared" ref="R62:R64" si="60">-$D67+$H67</f>
        <v>0.31012139625329382</v>
      </c>
      <c r="S62" s="55">
        <f t="shared" ref="S62:S64" si="61">-$D72+$H72</f>
        <v>0.19211045452055941</v>
      </c>
      <c r="T62" s="51">
        <f t="shared" si="50"/>
        <v>240.03955999999999</v>
      </c>
      <c r="U62" s="51">
        <f t="shared" si="51"/>
        <v>241.47233800000001</v>
      </c>
      <c r="V62" s="51">
        <f t="shared" si="52"/>
        <v>241.34255999999999</v>
      </c>
      <c r="W62" s="33"/>
      <c r="X62" s="35"/>
      <c r="Y62" s="35"/>
      <c r="Z62" s="35"/>
      <c r="AA62" s="35"/>
      <c r="AB62" s="35"/>
      <c r="AC62" s="32"/>
      <c r="AD62" s="32"/>
      <c r="AE62" s="32"/>
      <c r="AF62" s="32"/>
      <c r="AG62" s="32"/>
      <c r="AH62" s="33"/>
    </row>
    <row r="63" spans="1:34" x14ac:dyDescent="0.2">
      <c r="A63" s="62">
        <v>21052</v>
      </c>
      <c r="B63" s="62" t="s">
        <v>10</v>
      </c>
      <c r="C63" s="63">
        <v>35</v>
      </c>
      <c r="D63" s="64">
        <v>264.48115568571427</v>
      </c>
      <c r="E63" s="64">
        <v>0.89622205749700412</v>
      </c>
      <c r="F63" s="64">
        <v>0.15148917701502765</v>
      </c>
      <c r="G63" s="64">
        <v>264.0678334684743</v>
      </c>
      <c r="H63" s="64">
        <v>264.89447790295424</v>
      </c>
      <c r="I63" s="32"/>
      <c r="J63" s="24" t="s">
        <v>1</v>
      </c>
      <c r="K63" s="51">
        <f t="shared" si="53"/>
        <v>264.48115568571427</v>
      </c>
      <c r="L63" s="51">
        <f t="shared" si="54"/>
        <v>264.50905405714281</v>
      </c>
      <c r="M63" s="51">
        <f t="shared" si="55"/>
        <v>264.55226557142856</v>
      </c>
      <c r="N63" s="55">
        <f t="shared" si="56"/>
        <v>0.41332221723996554</v>
      </c>
      <c r="O63" s="55">
        <f t="shared" si="57"/>
        <v>0.28605119608556606</v>
      </c>
      <c r="P63" s="55">
        <f t="shared" si="58"/>
        <v>0.21156509731127926</v>
      </c>
      <c r="Q63" s="55">
        <f t="shared" si="59"/>
        <v>0.41332221723996554</v>
      </c>
      <c r="R63" s="55">
        <f t="shared" si="60"/>
        <v>0.28605119608556606</v>
      </c>
      <c r="S63" s="55">
        <f t="shared" si="61"/>
        <v>0.21156509731127926</v>
      </c>
      <c r="T63" s="51">
        <f t="shared" si="50"/>
        <v>240.03955999999999</v>
      </c>
      <c r="U63" s="51">
        <f t="shared" si="51"/>
        <v>241.47233800000001</v>
      </c>
      <c r="V63" s="51">
        <f t="shared" si="52"/>
        <v>241.34255999999999</v>
      </c>
      <c r="W63" s="33"/>
      <c r="X63" s="35"/>
      <c r="Y63" s="35"/>
      <c r="Z63" s="35"/>
      <c r="AA63" s="35"/>
      <c r="AB63" s="35"/>
      <c r="AC63" s="32"/>
      <c r="AD63" s="32"/>
      <c r="AE63" s="32"/>
      <c r="AF63" s="32"/>
      <c r="AG63" s="32"/>
      <c r="AH63" s="33"/>
    </row>
    <row r="64" spans="1:34" x14ac:dyDescent="0.2">
      <c r="A64" s="62">
        <v>21052</v>
      </c>
      <c r="B64" s="62" t="s">
        <v>11</v>
      </c>
      <c r="C64" s="63">
        <v>35</v>
      </c>
      <c r="D64" s="64">
        <v>272.36241111428569</v>
      </c>
      <c r="E64" s="64">
        <v>0.78093778429691774</v>
      </c>
      <c r="F64" s="64">
        <v>0.1320025782153601</v>
      </c>
      <c r="G64" s="64">
        <v>272.00225602344409</v>
      </c>
      <c r="H64" s="64">
        <v>272.72256620512729</v>
      </c>
      <c r="I64" s="32"/>
      <c r="J64" s="24" t="s">
        <v>15</v>
      </c>
      <c r="K64" s="51">
        <f t="shared" si="53"/>
        <v>272.36241111428569</v>
      </c>
      <c r="L64" s="51">
        <f t="shared" si="54"/>
        <v>272.99618337142857</v>
      </c>
      <c r="M64" s="51">
        <f t="shared" si="55"/>
        <v>273.08601851428568</v>
      </c>
      <c r="N64" s="55">
        <f t="shared" si="56"/>
        <v>0.36015509084160158</v>
      </c>
      <c r="O64" s="55">
        <f t="shared" si="57"/>
        <v>0.21965359711151677</v>
      </c>
      <c r="P64" s="55">
        <f t="shared" si="58"/>
        <v>0.18943527116329051</v>
      </c>
      <c r="Q64" s="55">
        <f t="shared" si="59"/>
        <v>0.36015509084160158</v>
      </c>
      <c r="R64" s="55">
        <f t="shared" si="60"/>
        <v>0.21965359711151677</v>
      </c>
      <c r="S64" s="55">
        <f t="shared" si="61"/>
        <v>0.18943527116329051</v>
      </c>
      <c r="T64" s="51">
        <f t="shared" si="50"/>
        <v>240.03955999999999</v>
      </c>
      <c r="U64" s="51">
        <f t="shared" si="51"/>
        <v>241.47233800000001</v>
      </c>
      <c r="V64" s="51">
        <f t="shared" si="52"/>
        <v>241.34255999999999</v>
      </c>
      <c r="W64" s="33"/>
      <c r="X64" s="35"/>
      <c r="Y64" s="35"/>
      <c r="Z64" s="35"/>
      <c r="AA64" s="35"/>
      <c r="AB64" s="35"/>
      <c r="AC64" s="32"/>
      <c r="AD64" s="32"/>
      <c r="AE64" s="32"/>
      <c r="AF64" s="32"/>
      <c r="AG64" s="32"/>
      <c r="AH64" s="33"/>
    </row>
    <row r="65" spans="1:34" x14ac:dyDescent="0.2">
      <c r="A65" s="62">
        <v>62936</v>
      </c>
      <c r="B65" s="62" t="s">
        <v>8</v>
      </c>
      <c r="C65" s="63">
        <v>1</v>
      </c>
      <c r="D65" s="64">
        <v>241.47233800000001</v>
      </c>
      <c r="E65" s="64">
        <v>0</v>
      </c>
      <c r="F65" s="64">
        <v>0</v>
      </c>
      <c r="G65" s="64">
        <v>241.47233800000001</v>
      </c>
      <c r="H65" s="64">
        <v>241.47233800000001</v>
      </c>
      <c r="I65" s="32"/>
      <c r="J65" s="24"/>
      <c r="K65" s="32"/>
      <c r="L65" s="32"/>
      <c r="M65" s="32"/>
      <c r="N65" s="32"/>
      <c r="O65" s="32"/>
      <c r="P65" s="32"/>
      <c r="T65" s="51">
        <f t="shared" si="50"/>
        <v>240.03955999999999</v>
      </c>
      <c r="U65" s="51">
        <f t="shared" si="51"/>
        <v>241.47233800000001</v>
      </c>
      <c r="V65" s="51">
        <f t="shared" si="52"/>
        <v>241.34255999999999</v>
      </c>
      <c r="W65" s="33"/>
      <c r="X65" s="35"/>
      <c r="Y65" s="35"/>
      <c r="Z65" s="35"/>
      <c r="AA65" s="35"/>
      <c r="AB65" s="35"/>
      <c r="AC65" s="32"/>
      <c r="AD65" s="32"/>
      <c r="AE65" s="32"/>
      <c r="AF65" s="32"/>
      <c r="AG65" s="32"/>
      <c r="AH65" s="33"/>
    </row>
    <row r="66" spans="1:34" x14ac:dyDescent="0.2">
      <c r="A66" s="62">
        <v>62936</v>
      </c>
      <c r="B66" s="62" t="s">
        <v>5</v>
      </c>
      <c r="C66" s="63">
        <v>1</v>
      </c>
      <c r="D66" s="64">
        <v>260.091702</v>
      </c>
      <c r="E66" s="64">
        <v>0</v>
      </c>
      <c r="F66" s="64">
        <v>0</v>
      </c>
      <c r="G66" s="64">
        <v>260.091702</v>
      </c>
      <c r="H66" s="64">
        <v>260.091702</v>
      </c>
      <c r="I66" s="32"/>
      <c r="J66" s="2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3"/>
      <c r="X66" s="35"/>
      <c r="Y66" s="35"/>
      <c r="Z66" s="35"/>
      <c r="AA66" s="35"/>
      <c r="AB66" s="35"/>
      <c r="AC66" s="32"/>
      <c r="AD66" s="32"/>
      <c r="AE66" s="32"/>
      <c r="AF66" s="32"/>
      <c r="AG66" s="32"/>
      <c r="AH66" s="33"/>
    </row>
    <row r="67" spans="1:34" x14ac:dyDescent="0.2">
      <c r="A67" s="62">
        <v>62936</v>
      </c>
      <c r="B67" s="62" t="s">
        <v>9</v>
      </c>
      <c r="C67" s="63">
        <v>35</v>
      </c>
      <c r="D67" s="64">
        <v>279.09656231428568</v>
      </c>
      <c r="E67" s="64">
        <v>0.67244784875087971</v>
      </c>
      <c r="F67" s="64">
        <v>0.1136644320909688</v>
      </c>
      <c r="G67" s="64">
        <v>278.78644091803238</v>
      </c>
      <c r="H67" s="64">
        <v>279.40668371053897</v>
      </c>
      <c r="I67" s="32"/>
      <c r="J67" s="24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3"/>
      <c r="X67" s="35"/>
      <c r="Y67" s="35"/>
      <c r="Z67" s="35"/>
      <c r="AA67" s="35"/>
      <c r="AB67" s="35"/>
      <c r="AC67" s="32"/>
      <c r="AD67" s="32"/>
      <c r="AE67" s="32"/>
      <c r="AF67" s="32"/>
      <c r="AG67" s="32"/>
      <c r="AH67" s="33"/>
    </row>
    <row r="68" spans="1:34" x14ac:dyDescent="0.2">
      <c r="A68" s="62">
        <v>62936</v>
      </c>
      <c r="B68" s="62" t="s">
        <v>10</v>
      </c>
      <c r="C68" s="63">
        <v>35</v>
      </c>
      <c r="D68" s="64">
        <v>264.50905405714281</v>
      </c>
      <c r="E68" s="64">
        <v>0.62025553142825884</v>
      </c>
      <c r="F68" s="64">
        <v>0.10484232028109802</v>
      </c>
      <c r="G68" s="64">
        <v>264.22300286105724</v>
      </c>
      <c r="H68" s="64">
        <v>264.79510525322837</v>
      </c>
      <c r="I68" s="32"/>
      <c r="J68" s="2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3"/>
      <c r="X68" s="35"/>
      <c r="Y68" s="35"/>
      <c r="Z68" s="35"/>
      <c r="AA68" s="35"/>
      <c r="AB68" s="35"/>
      <c r="AC68" s="32"/>
      <c r="AD68" s="32"/>
      <c r="AE68" s="32"/>
      <c r="AF68" s="32"/>
      <c r="AG68" s="32"/>
      <c r="AH68" s="33"/>
    </row>
    <row r="69" spans="1:34" x14ac:dyDescent="0.2">
      <c r="A69" s="62">
        <v>62936</v>
      </c>
      <c r="B69" s="62" t="s">
        <v>11</v>
      </c>
      <c r="C69" s="63">
        <v>35</v>
      </c>
      <c r="D69" s="64">
        <v>272.99618337142857</v>
      </c>
      <c r="E69" s="64">
        <v>0.47628312858290189</v>
      </c>
      <c r="F69" s="64">
        <v>8.0506542515449739E-2</v>
      </c>
      <c r="G69" s="64">
        <v>272.77652977431705</v>
      </c>
      <c r="H69" s="64">
        <v>273.21583696854009</v>
      </c>
      <c r="I69" s="32"/>
      <c r="J69" s="24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3"/>
      <c r="X69" s="35"/>
      <c r="Y69" s="35"/>
      <c r="Z69" s="35"/>
      <c r="AA69" s="35"/>
      <c r="AB69" s="35"/>
      <c r="AC69" s="32"/>
      <c r="AD69" s="32"/>
      <c r="AE69" s="32"/>
      <c r="AF69" s="32"/>
      <c r="AG69" s="32"/>
      <c r="AH69" s="33"/>
    </row>
    <row r="70" spans="1:34" x14ac:dyDescent="0.2">
      <c r="A70" s="62">
        <v>104717</v>
      </c>
      <c r="B70" s="62" t="s">
        <v>8</v>
      </c>
      <c r="C70" s="63">
        <v>1</v>
      </c>
      <c r="D70" s="64">
        <v>241.34255999999999</v>
      </c>
      <c r="E70" s="64">
        <v>0</v>
      </c>
      <c r="F70" s="64">
        <v>0</v>
      </c>
      <c r="G70" s="64">
        <v>241.34255999999999</v>
      </c>
      <c r="H70" s="64">
        <v>241.34255999999999</v>
      </c>
      <c r="I70" s="32"/>
      <c r="J70" s="2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3"/>
      <c r="X70" s="35"/>
      <c r="Y70" s="35"/>
      <c r="Z70" s="35"/>
      <c r="AA70" s="35"/>
      <c r="AB70" s="35"/>
      <c r="AC70" s="32"/>
      <c r="AD70" s="32"/>
      <c r="AE70" s="32"/>
      <c r="AF70" s="32"/>
      <c r="AG70" s="32"/>
      <c r="AH70" s="33"/>
    </row>
    <row r="71" spans="1:34" x14ac:dyDescent="0.2">
      <c r="A71" s="62">
        <v>104717</v>
      </c>
      <c r="B71" s="62" t="s">
        <v>5</v>
      </c>
      <c r="C71" s="63">
        <v>1</v>
      </c>
      <c r="D71" s="64">
        <v>259.4633</v>
      </c>
      <c r="E71" s="64">
        <v>0</v>
      </c>
      <c r="F71" s="64">
        <v>0</v>
      </c>
      <c r="G71" s="64">
        <v>259.4633</v>
      </c>
      <c r="H71" s="64">
        <v>259.4633</v>
      </c>
      <c r="I71" s="32"/>
      <c r="J71" s="24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3"/>
      <c r="X71" s="35"/>
      <c r="Y71" s="35"/>
      <c r="Z71" s="35"/>
      <c r="AA71" s="35"/>
      <c r="AB71" s="35"/>
      <c r="AC71" s="32"/>
      <c r="AD71" s="32"/>
      <c r="AE71" s="32"/>
      <c r="AF71" s="32"/>
      <c r="AG71" s="32"/>
      <c r="AH71" s="33"/>
    </row>
    <row r="72" spans="1:34" x14ac:dyDescent="0.2">
      <c r="A72" s="62">
        <v>104717</v>
      </c>
      <c r="B72" s="62" t="s">
        <v>9</v>
      </c>
      <c r="C72" s="63">
        <v>35</v>
      </c>
      <c r="D72" s="64">
        <v>279.13472982857149</v>
      </c>
      <c r="E72" s="64">
        <v>0.41656030001680278</v>
      </c>
      <c r="F72" s="64">
        <v>7.041154198203764E-2</v>
      </c>
      <c r="G72" s="64">
        <v>278.94261937405093</v>
      </c>
      <c r="H72" s="64">
        <v>279.32684028309205</v>
      </c>
      <c r="I72" s="32"/>
      <c r="J72" s="24"/>
      <c r="K72" s="32"/>
      <c r="L72" s="32"/>
      <c r="M72" s="32"/>
      <c r="N72" s="32"/>
      <c r="O72" s="37"/>
      <c r="P72" s="32"/>
      <c r="Q72" s="32"/>
      <c r="R72" s="32"/>
      <c r="S72" s="32"/>
      <c r="T72" s="32"/>
      <c r="U72" s="32"/>
      <c r="V72" s="32"/>
      <c r="W72" s="33"/>
      <c r="X72" s="35"/>
      <c r="Y72" s="35"/>
      <c r="Z72" s="35"/>
      <c r="AA72" s="35"/>
      <c r="AB72" s="35"/>
      <c r="AC72" s="32"/>
      <c r="AD72" s="32"/>
      <c r="AE72" s="32"/>
      <c r="AF72" s="32"/>
      <c r="AG72" s="32"/>
      <c r="AH72" s="33"/>
    </row>
    <row r="73" spans="1:34" x14ac:dyDescent="0.2">
      <c r="A73" s="62">
        <v>104717</v>
      </c>
      <c r="B73" s="62" t="s">
        <v>10</v>
      </c>
      <c r="C73" s="63">
        <v>35</v>
      </c>
      <c r="D73" s="64">
        <v>264.55226557142856</v>
      </c>
      <c r="E73" s="64">
        <v>0.45874453125949233</v>
      </c>
      <c r="F73" s="64">
        <v>7.7541978485479779E-2</v>
      </c>
      <c r="G73" s="64">
        <v>264.34070047411728</v>
      </c>
      <c r="H73" s="64">
        <v>264.76383066873984</v>
      </c>
      <c r="I73" s="32"/>
      <c r="J73" s="24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3"/>
      <c r="X73" s="35"/>
      <c r="Y73" s="35"/>
      <c r="Z73" s="35"/>
      <c r="AA73" s="35"/>
      <c r="AB73" s="35"/>
      <c r="AC73" s="32"/>
      <c r="AD73" s="32"/>
      <c r="AE73" s="32"/>
      <c r="AF73" s="32"/>
      <c r="AG73" s="32"/>
      <c r="AH73" s="33"/>
    </row>
    <row r="74" spans="1:34" x14ac:dyDescent="0.2">
      <c r="A74" s="62">
        <v>104717</v>
      </c>
      <c r="B74" s="62" t="s">
        <v>11</v>
      </c>
      <c r="C74" s="63">
        <v>35</v>
      </c>
      <c r="D74" s="64">
        <v>273.08601851428568</v>
      </c>
      <c r="E74" s="64">
        <v>0.41075959966093306</v>
      </c>
      <c r="F74" s="64">
        <v>6.9431044664803945E-2</v>
      </c>
      <c r="G74" s="64">
        <v>272.89658324312239</v>
      </c>
      <c r="H74" s="64">
        <v>273.27545378544897</v>
      </c>
      <c r="I74" s="32"/>
      <c r="J74" s="2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3"/>
      <c r="X74" s="35"/>
      <c r="Y74" s="35"/>
      <c r="Z74" s="35"/>
      <c r="AA74" s="35"/>
      <c r="AB74" s="35"/>
      <c r="AC74" s="32"/>
      <c r="AD74" s="32"/>
      <c r="AE74" s="32"/>
      <c r="AF74" s="32"/>
      <c r="AG74" s="32"/>
      <c r="AH74" s="33"/>
    </row>
    <row r="75" spans="1:34" ht="13.5" thickBot="1" x14ac:dyDescent="0.25">
      <c r="A75" s="38"/>
      <c r="B75" s="39"/>
      <c r="C75" s="39"/>
      <c r="D75" s="39"/>
      <c r="E75" s="39"/>
      <c r="F75" s="39"/>
      <c r="G75" s="39"/>
      <c r="H75" s="39"/>
      <c r="I75" s="39"/>
      <c r="J75" s="28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41"/>
      <c r="X75" s="43"/>
      <c r="Y75" s="43"/>
      <c r="Z75" s="43"/>
      <c r="AA75" s="43"/>
      <c r="AB75" s="43"/>
      <c r="AC75" s="39"/>
      <c r="AD75" s="39"/>
      <c r="AE75" s="39"/>
      <c r="AF75" s="39"/>
      <c r="AG75" s="39"/>
      <c r="AH75" s="41"/>
    </row>
    <row r="76" spans="1:34" x14ac:dyDescent="0.2">
      <c r="X76" s="45"/>
      <c r="Y76" s="45"/>
      <c r="Z76" s="45"/>
      <c r="AA76" s="45"/>
      <c r="AB76" s="45"/>
    </row>
    <row r="77" spans="1:34" x14ac:dyDescent="0.2">
      <c r="X77" s="45"/>
      <c r="Y77" s="45"/>
      <c r="Z77" s="45"/>
      <c r="AA77" s="45"/>
      <c r="AB77" s="45"/>
    </row>
    <row r="78" spans="1:34" x14ac:dyDescent="0.2">
      <c r="X78" s="45"/>
      <c r="Y78" s="45"/>
      <c r="Z78" s="45"/>
      <c r="AA78" s="45"/>
      <c r="AB78" s="45"/>
    </row>
    <row r="79" spans="1:34" x14ac:dyDescent="0.2">
      <c r="X79" s="45"/>
      <c r="Y79" s="45"/>
      <c r="Z79" s="45"/>
      <c r="AA79" s="45"/>
      <c r="AB79" s="45"/>
    </row>
    <row r="80" spans="1:34" x14ac:dyDescent="0.2">
      <c r="X80" s="45"/>
      <c r="Y80" s="45"/>
      <c r="Z80" s="45"/>
      <c r="AA80" s="45"/>
      <c r="AB80" s="45"/>
    </row>
    <row r="81" spans="24:28" x14ac:dyDescent="0.2">
      <c r="X81" s="45"/>
      <c r="Y81" s="45"/>
      <c r="Z81" s="45"/>
      <c r="AA81" s="45"/>
      <c r="AB81" s="45"/>
    </row>
    <row r="82" spans="24:28" x14ac:dyDescent="0.2">
      <c r="X82" s="45"/>
      <c r="Y82" s="45"/>
      <c r="Z82" s="45"/>
      <c r="AA82" s="45"/>
      <c r="AB82" s="45"/>
    </row>
    <row r="83" spans="24:28" x14ac:dyDescent="0.2">
      <c r="X83" s="45"/>
      <c r="Y83" s="45"/>
      <c r="Z83" s="45"/>
      <c r="AA83" s="45"/>
      <c r="AB83" s="45"/>
    </row>
    <row r="84" spans="24:28" x14ac:dyDescent="0.2">
      <c r="X84" s="45"/>
      <c r="Y84" s="45"/>
      <c r="Z84" s="45"/>
      <c r="AA84" s="45"/>
      <c r="AB84" s="45"/>
    </row>
    <row r="85" spans="24:28" x14ac:dyDescent="0.2">
      <c r="X85" s="45"/>
      <c r="Y85" s="45"/>
      <c r="Z85" s="45"/>
      <c r="AA85" s="45"/>
      <c r="AB85" s="45"/>
    </row>
    <row r="86" spans="24:28" x14ac:dyDescent="0.2">
      <c r="X86" s="45"/>
      <c r="Y86" s="45"/>
      <c r="Z86" s="45"/>
      <c r="AA86" s="45"/>
      <c r="AB86" s="45"/>
    </row>
    <row r="87" spans="24:28" x14ac:dyDescent="0.2">
      <c r="X87" s="45"/>
      <c r="Y87" s="45"/>
      <c r="Z87" s="45"/>
      <c r="AA87" s="45"/>
      <c r="AB87" s="45"/>
    </row>
    <row r="88" spans="24:28" x14ac:dyDescent="0.2">
      <c r="X88" s="45"/>
      <c r="Y88" s="45"/>
      <c r="Z88" s="45"/>
      <c r="AA88" s="45"/>
      <c r="AB88" s="45"/>
    </row>
    <row r="89" spans="24:28" x14ac:dyDescent="0.2">
      <c r="X89" s="45"/>
      <c r="Y89" s="45"/>
      <c r="Z89" s="45"/>
      <c r="AA89" s="45"/>
      <c r="AB89" s="45"/>
    </row>
    <row r="90" spans="24:28" x14ac:dyDescent="0.2">
      <c r="X90" s="45"/>
      <c r="Y90" s="45"/>
      <c r="Z90" s="45"/>
      <c r="AA90" s="45"/>
      <c r="AB90" s="45"/>
    </row>
    <row r="91" spans="24:28" x14ac:dyDescent="0.2">
      <c r="X91" s="45"/>
      <c r="Y91" s="45"/>
      <c r="Z91" s="45"/>
      <c r="AA91" s="45"/>
      <c r="AB91" s="45"/>
    </row>
    <row r="92" spans="24:28" x14ac:dyDescent="0.2">
      <c r="X92" s="45"/>
      <c r="Y92" s="45"/>
      <c r="Z92" s="45"/>
      <c r="AA92" s="45"/>
      <c r="AB92" s="45"/>
    </row>
    <row r="93" spans="24:28" x14ac:dyDescent="0.2">
      <c r="X93" s="45"/>
      <c r="Y93" s="45"/>
      <c r="Z93" s="45"/>
      <c r="AA93" s="45"/>
      <c r="AB93" s="45"/>
    </row>
    <row r="94" spans="24:28" x14ac:dyDescent="0.2">
      <c r="X94" s="45"/>
      <c r="Y94" s="45"/>
      <c r="Z94" s="45"/>
      <c r="AA94" s="45"/>
      <c r="AB94" s="45"/>
    </row>
    <row r="95" spans="24:28" x14ac:dyDescent="0.2">
      <c r="X95" s="45"/>
      <c r="Y95" s="45"/>
      <c r="Z95" s="45"/>
      <c r="AA95" s="45"/>
      <c r="AB95" s="45"/>
    </row>
    <row r="96" spans="24:28" x14ac:dyDescent="0.2">
      <c r="X96" s="45"/>
      <c r="Y96" s="45"/>
      <c r="Z96" s="45"/>
      <c r="AA96" s="45"/>
      <c r="AB96" s="45"/>
    </row>
    <row r="97" spans="24:28" x14ac:dyDescent="0.2">
      <c r="X97" s="45"/>
      <c r="Y97" s="45"/>
      <c r="Z97" s="45"/>
      <c r="AA97" s="45"/>
      <c r="AB97" s="45"/>
    </row>
    <row r="98" spans="24:28" x14ac:dyDescent="0.2">
      <c r="X98" s="45"/>
      <c r="Y98" s="45"/>
      <c r="Z98" s="45"/>
      <c r="AA98" s="45"/>
      <c r="AB98" s="45"/>
    </row>
    <row r="99" spans="24:28" x14ac:dyDescent="0.2">
      <c r="X99" s="45"/>
      <c r="Y99" s="45"/>
      <c r="Z99" s="45"/>
      <c r="AA99" s="45"/>
      <c r="AB99" s="45"/>
    </row>
    <row r="100" spans="24:28" x14ac:dyDescent="0.2">
      <c r="X100" s="45"/>
      <c r="Y100" s="45"/>
      <c r="Z100" s="45"/>
      <c r="AA100" s="45"/>
      <c r="AB100" s="45"/>
    </row>
    <row r="101" spans="24:28" x14ac:dyDescent="0.2">
      <c r="X101" s="45"/>
      <c r="Y101" s="45"/>
      <c r="Z101" s="45"/>
      <c r="AA101" s="45"/>
      <c r="AB101" s="45"/>
    </row>
    <row r="102" spans="24:28" x14ac:dyDescent="0.2">
      <c r="X102" s="45"/>
      <c r="Y102" s="45"/>
      <c r="Z102" s="45"/>
      <c r="AA102" s="45"/>
      <c r="AB102" s="45"/>
    </row>
    <row r="103" spans="24:28" x14ac:dyDescent="0.2">
      <c r="X103" s="45"/>
      <c r="Y103" s="45"/>
      <c r="Z103" s="45"/>
      <c r="AA103" s="45"/>
      <c r="AB103" s="45"/>
    </row>
    <row r="104" spans="24:28" x14ac:dyDescent="0.2">
      <c r="X104" s="45"/>
      <c r="Y104" s="45"/>
      <c r="Z104" s="45"/>
      <c r="AA104" s="45"/>
      <c r="AB104" s="45"/>
    </row>
    <row r="105" spans="24:28" x14ac:dyDescent="0.2">
      <c r="X105" s="45"/>
      <c r="Y105" s="45"/>
      <c r="Z105" s="45"/>
      <c r="AA105" s="45"/>
      <c r="AB105" s="45"/>
    </row>
    <row r="106" spans="24:28" x14ac:dyDescent="0.2">
      <c r="X106" s="45"/>
      <c r="Y106" s="45"/>
      <c r="Z106" s="45"/>
      <c r="AA106" s="45"/>
      <c r="AB106" s="45"/>
    </row>
    <row r="107" spans="24:28" x14ac:dyDescent="0.2">
      <c r="X107" s="45"/>
      <c r="Y107" s="45"/>
      <c r="Z107" s="45"/>
      <c r="AA107" s="45"/>
      <c r="AB107" s="45"/>
    </row>
    <row r="108" spans="24:28" x14ac:dyDescent="0.2">
      <c r="X108" s="45"/>
      <c r="Y108" s="45"/>
      <c r="Z108" s="45"/>
      <c r="AA108" s="45"/>
      <c r="AB108" s="45"/>
    </row>
    <row r="109" spans="24:28" x14ac:dyDescent="0.2">
      <c r="X109" s="45"/>
      <c r="Y109" s="45"/>
      <c r="Z109" s="45"/>
      <c r="AA109" s="45"/>
      <c r="AB109" s="45"/>
    </row>
    <row r="110" spans="24:28" x14ac:dyDescent="0.2">
      <c r="X110" s="45"/>
      <c r="Y110" s="45"/>
      <c r="Z110" s="45"/>
      <c r="AA110" s="45"/>
      <c r="AB110" s="45"/>
    </row>
    <row r="111" spans="24:28" x14ac:dyDescent="0.2">
      <c r="X111" s="45"/>
      <c r="Y111" s="45"/>
      <c r="Z111" s="45"/>
      <c r="AA111" s="45"/>
      <c r="AB111" s="45"/>
    </row>
    <row r="112" spans="24:28" x14ac:dyDescent="0.2">
      <c r="X112" s="45"/>
      <c r="Y112" s="45"/>
      <c r="Z112" s="45"/>
      <c r="AA112" s="45"/>
      <c r="AB112" s="45"/>
    </row>
    <row r="113" spans="24:28" x14ac:dyDescent="0.2">
      <c r="X113" s="45"/>
      <c r="Y113" s="45"/>
      <c r="Z113" s="45"/>
      <c r="AA113" s="45"/>
      <c r="AB113" s="45"/>
    </row>
    <row r="114" spans="24:28" x14ac:dyDescent="0.2">
      <c r="X114" s="45"/>
      <c r="Y114" s="45"/>
      <c r="Z114" s="45"/>
      <c r="AA114" s="45"/>
      <c r="AB114" s="45"/>
    </row>
    <row r="115" spans="24:28" x14ac:dyDescent="0.2">
      <c r="X115" s="45"/>
      <c r="Y115" s="45"/>
      <c r="Z115" s="45"/>
      <c r="AA115" s="45"/>
      <c r="AB115" s="45"/>
    </row>
    <row r="116" spans="24:28" x14ac:dyDescent="0.2">
      <c r="X116" s="45"/>
      <c r="Y116" s="45"/>
      <c r="Z116" s="45"/>
      <c r="AA116" s="45"/>
      <c r="AB116" s="45"/>
    </row>
    <row r="117" spans="24:28" x14ac:dyDescent="0.2">
      <c r="X117" s="45"/>
      <c r="Y117" s="45"/>
      <c r="Z117" s="45"/>
      <c r="AA117" s="45"/>
      <c r="AB117" s="45"/>
    </row>
    <row r="118" spans="24:28" x14ac:dyDescent="0.2">
      <c r="X118" s="45"/>
      <c r="Y118" s="45"/>
      <c r="Z118" s="45"/>
      <c r="AA118" s="45"/>
      <c r="AB118" s="45"/>
    </row>
    <row r="119" spans="24:28" x14ac:dyDescent="0.2">
      <c r="X119" s="45"/>
      <c r="Y119" s="45"/>
      <c r="Z119" s="45"/>
      <c r="AA119" s="45"/>
      <c r="AB119" s="45"/>
    </row>
    <row r="120" spans="24:28" x14ac:dyDescent="0.2">
      <c r="X120" s="45"/>
      <c r="Y120" s="45"/>
      <c r="Z120" s="45"/>
      <c r="AA120" s="45"/>
      <c r="AB120" s="45"/>
    </row>
    <row r="121" spans="24:28" x14ac:dyDescent="0.2">
      <c r="X121" s="45"/>
      <c r="Y121" s="45"/>
      <c r="Z121" s="45"/>
      <c r="AA121" s="45"/>
      <c r="AB121" s="45"/>
    </row>
    <row r="122" spans="24:28" x14ac:dyDescent="0.2">
      <c r="X122" s="45"/>
      <c r="Y122" s="45"/>
      <c r="Z122" s="45"/>
      <c r="AA122" s="45"/>
      <c r="AB122" s="45"/>
    </row>
    <row r="123" spans="24:28" x14ac:dyDescent="0.2">
      <c r="X123" s="45"/>
      <c r="Y123" s="45"/>
      <c r="Z123" s="45"/>
      <c r="AA123" s="45"/>
      <c r="AB123" s="45"/>
    </row>
    <row r="124" spans="24:28" x14ac:dyDescent="0.2">
      <c r="X124" s="45"/>
      <c r="Y124" s="45"/>
      <c r="Z124" s="45"/>
      <c r="AA124" s="45"/>
      <c r="AB124" s="45"/>
    </row>
    <row r="125" spans="24:28" x14ac:dyDescent="0.2">
      <c r="X125" s="45"/>
      <c r="Y125" s="45"/>
      <c r="Z125" s="45"/>
      <c r="AA125" s="45"/>
      <c r="AB125" s="45"/>
    </row>
    <row r="126" spans="24:28" x14ac:dyDescent="0.2">
      <c r="X126" s="45"/>
      <c r="Y126" s="45"/>
      <c r="Z126" s="45"/>
      <c r="AA126" s="45"/>
      <c r="AB126" s="45"/>
    </row>
    <row r="127" spans="24:28" x14ac:dyDescent="0.2">
      <c r="X127" s="45"/>
      <c r="Y127" s="45"/>
      <c r="Z127" s="45"/>
      <c r="AA127" s="45"/>
      <c r="AB127" s="45"/>
    </row>
    <row r="128" spans="24:28" x14ac:dyDescent="0.2">
      <c r="X128" s="45"/>
      <c r="Y128" s="45"/>
      <c r="Z128" s="45"/>
      <c r="AA128" s="45"/>
      <c r="AB128" s="45"/>
    </row>
    <row r="129" spans="24:28" x14ac:dyDescent="0.2">
      <c r="X129" s="45"/>
      <c r="Y129" s="45"/>
      <c r="Z129" s="45"/>
      <c r="AA129" s="45"/>
      <c r="AB129" s="45"/>
    </row>
    <row r="130" spans="24:28" x14ac:dyDescent="0.2">
      <c r="X130" s="45"/>
      <c r="Y130" s="45"/>
      <c r="Z130" s="45"/>
      <c r="AA130" s="45"/>
      <c r="AB130" s="45"/>
    </row>
    <row r="131" spans="24:28" x14ac:dyDescent="0.2">
      <c r="X131" s="45"/>
      <c r="Y131" s="45"/>
      <c r="Z131" s="45"/>
      <c r="AA131" s="45"/>
      <c r="AB131" s="45"/>
    </row>
    <row r="132" spans="24:28" x14ac:dyDescent="0.2">
      <c r="X132" s="45"/>
      <c r="Y132" s="45"/>
      <c r="Z132" s="45"/>
      <c r="AA132" s="45"/>
      <c r="AB132" s="45"/>
    </row>
    <row r="133" spans="24:28" x14ac:dyDescent="0.2">
      <c r="X133" s="45"/>
      <c r="Y133" s="45"/>
      <c r="Z133" s="45"/>
      <c r="AA133" s="45"/>
      <c r="AB133" s="45"/>
    </row>
    <row r="134" spans="24:28" x14ac:dyDescent="0.2">
      <c r="X134" s="45"/>
      <c r="Y134" s="45"/>
      <c r="Z134" s="45"/>
      <c r="AA134" s="45"/>
      <c r="AB134" s="45"/>
    </row>
    <row r="135" spans="24:28" x14ac:dyDescent="0.2">
      <c r="X135" s="45"/>
      <c r="Y135" s="45"/>
      <c r="Z135" s="45"/>
      <c r="AA135" s="45"/>
      <c r="AB135" s="45"/>
    </row>
    <row r="136" spans="24:28" x14ac:dyDescent="0.2">
      <c r="X136" s="45"/>
      <c r="Y136" s="45"/>
      <c r="Z136" s="45"/>
      <c r="AA136" s="45"/>
      <c r="AB136" s="45"/>
    </row>
    <row r="137" spans="24:28" x14ac:dyDescent="0.2">
      <c r="X137" s="45"/>
      <c r="Y137" s="45"/>
      <c r="Z137" s="45"/>
      <c r="AA137" s="45"/>
      <c r="AB137" s="45"/>
    </row>
    <row r="138" spans="24:28" x14ac:dyDescent="0.2">
      <c r="X138" s="45"/>
      <c r="Y138" s="45"/>
      <c r="Z138" s="45"/>
      <c r="AA138" s="45"/>
      <c r="AB138" s="45"/>
    </row>
    <row r="139" spans="24:28" x14ac:dyDescent="0.2">
      <c r="X139" s="45"/>
      <c r="Y139" s="45"/>
      <c r="Z139" s="45"/>
      <c r="AA139" s="45"/>
      <c r="AB139" s="45"/>
    </row>
    <row r="140" spans="24:28" x14ac:dyDescent="0.2">
      <c r="X140" s="45"/>
      <c r="Y140" s="45"/>
      <c r="Z140" s="45"/>
      <c r="AA140" s="45"/>
      <c r="AB140" s="45"/>
    </row>
    <row r="141" spans="24:28" x14ac:dyDescent="0.2">
      <c r="X141" s="45"/>
      <c r="Y141" s="45"/>
      <c r="Z141" s="45"/>
      <c r="AA141" s="45"/>
      <c r="AB141" s="45"/>
    </row>
    <row r="142" spans="24:28" x14ac:dyDescent="0.2">
      <c r="X142" s="45"/>
      <c r="Y142" s="45"/>
      <c r="Z142" s="45"/>
      <c r="AA142" s="45"/>
      <c r="AB142" s="45"/>
    </row>
    <row r="143" spans="24:28" x14ac:dyDescent="0.2">
      <c r="X143" s="45"/>
      <c r="Y143" s="45"/>
      <c r="Z143" s="45"/>
      <c r="AA143" s="45"/>
      <c r="AB143" s="45"/>
    </row>
    <row r="144" spans="24:28" x14ac:dyDescent="0.2">
      <c r="X144" s="45"/>
      <c r="Y144" s="45"/>
      <c r="Z144" s="45"/>
      <c r="AA144" s="45"/>
      <c r="AB144" s="45"/>
    </row>
    <row r="145" spans="24:28" x14ac:dyDescent="0.2">
      <c r="X145" s="45"/>
      <c r="Y145" s="45"/>
      <c r="Z145" s="45"/>
      <c r="AA145" s="45"/>
      <c r="AB145" s="45"/>
    </row>
    <row r="146" spans="24:28" x14ac:dyDescent="0.2">
      <c r="X146" s="45"/>
      <c r="Y146" s="45"/>
      <c r="Z146" s="45"/>
      <c r="AA146" s="45"/>
      <c r="AB146" s="45"/>
    </row>
    <row r="147" spans="24:28" x14ac:dyDescent="0.2">
      <c r="X147" s="45"/>
      <c r="Y147" s="45"/>
      <c r="Z147" s="45"/>
      <c r="AA147" s="45"/>
      <c r="AB147" s="45"/>
    </row>
    <row r="148" spans="24:28" x14ac:dyDescent="0.2">
      <c r="X148" s="45"/>
      <c r="Y148" s="45"/>
      <c r="Z148" s="45"/>
      <c r="AA148" s="45"/>
      <c r="AB148" s="45"/>
    </row>
    <row r="149" spans="24:28" x14ac:dyDescent="0.2">
      <c r="X149" s="45"/>
      <c r="Y149" s="45"/>
      <c r="Z149" s="45"/>
      <c r="AA149" s="45"/>
      <c r="AB149" s="45"/>
    </row>
    <row r="150" spans="24:28" x14ac:dyDescent="0.2">
      <c r="X150" s="45"/>
      <c r="Y150" s="45"/>
      <c r="Z150" s="45"/>
      <c r="AA150" s="45"/>
      <c r="AB150" s="45"/>
    </row>
    <row r="151" spans="24:28" x14ac:dyDescent="0.2">
      <c r="X151" s="45"/>
      <c r="Y151" s="45"/>
      <c r="Z151" s="45"/>
      <c r="AA151" s="45"/>
      <c r="AB151" s="45"/>
    </row>
    <row r="152" spans="24:28" x14ac:dyDescent="0.2">
      <c r="X152" s="45"/>
      <c r="Y152" s="45"/>
      <c r="Z152" s="45"/>
      <c r="AA152" s="45"/>
      <c r="AB152" s="45"/>
    </row>
    <row r="153" spans="24:28" x14ac:dyDescent="0.2">
      <c r="X153" s="45"/>
      <c r="Y153" s="45"/>
      <c r="Z153" s="45"/>
      <c r="AA153" s="45"/>
      <c r="AB153" s="45"/>
    </row>
    <row r="154" spans="24:28" x14ac:dyDescent="0.2">
      <c r="X154" s="45"/>
      <c r="Y154" s="45"/>
      <c r="Z154" s="45"/>
      <c r="AA154" s="45"/>
      <c r="AB154" s="45"/>
    </row>
    <row r="155" spans="24:28" x14ac:dyDescent="0.2">
      <c r="X155" s="45"/>
      <c r="Y155" s="45"/>
      <c r="Z155" s="45"/>
      <c r="AA155" s="45"/>
      <c r="AB155" s="45"/>
    </row>
    <row r="156" spans="24:28" x14ac:dyDescent="0.2">
      <c r="X156" s="45"/>
      <c r="Y156" s="45"/>
      <c r="Z156" s="45"/>
      <c r="AA156" s="45"/>
      <c r="AB156" s="45"/>
    </row>
    <row r="157" spans="24:28" x14ac:dyDescent="0.2">
      <c r="X157" s="45"/>
      <c r="Y157" s="45"/>
      <c r="Z157" s="45"/>
      <c r="AA157" s="45"/>
      <c r="AB157" s="45"/>
    </row>
    <row r="158" spans="24:28" x14ac:dyDescent="0.2">
      <c r="X158" s="45"/>
      <c r="Y158" s="45"/>
      <c r="Z158" s="45"/>
      <c r="AA158" s="45"/>
      <c r="AB158" s="45"/>
    </row>
    <row r="159" spans="24:28" x14ac:dyDescent="0.2">
      <c r="X159" s="45"/>
      <c r="Y159" s="45"/>
      <c r="Z159" s="45"/>
      <c r="AA159" s="45"/>
      <c r="AB159" s="45"/>
    </row>
    <row r="160" spans="24:28" x14ac:dyDescent="0.2">
      <c r="X160" s="45"/>
      <c r="Y160" s="45"/>
      <c r="Z160" s="45"/>
      <c r="AA160" s="45"/>
      <c r="AB160" s="45"/>
    </row>
    <row r="161" spans="24:28" x14ac:dyDescent="0.2">
      <c r="X161" s="45"/>
      <c r="Y161" s="45"/>
      <c r="Z161" s="45"/>
      <c r="AA161" s="45"/>
      <c r="AB161" s="45"/>
    </row>
    <row r="162" spans="24:28" x14ac:dyDescent="0.2">
      <c r="X162" s="45"/>
      <c r="Y162" s="45"/>
      <c r="Z162" s="45"/>
      <c r="AA162" s="45"/>
      <c r="AB162" s="45"/>
    </row>
    <row r="163" spans="24:28" x14ac:dyDescent="0.2">
      <c r="X163" s="45"/>
      <c r="Y163" s="45"/>
      <c r="Z163" s="45"/>
      <c r="AA163" s="45"/>
      <c r="AB163" s="45"/>
    </row>
    <row r="164" spans="24:28" x14ac:dyDescent="0.2">
      <c r="X164" s="45"/>
      <c r="Y164" s="45"/>
      <c r="Z164" s="45"/>
      <c r="AA164" s="45"/>
      <c r="AB164" s="45"/>
    </row>
    <row r="165" spans="24:28" x14ac:dyDescent="0.2">
      <c r="X165" s="45"/>
      <c r="Y165" s="45"/>
      <c r="Z165" s="45"/>
      <c r="AA165" s="45"/>
      <c r="AB165" s="45"/>
    </row>
    <row r="166" spans="24:28" x14ac:dyDescent="0.2">
      <c r="X166" s="45"/>
      <c r="Y166" s="45"/>
      <c r="Z166" s="45"/>
      <c r="AA166" s="45"/>
      <c r="AB166" s="45"/>
    </row>
    <row r="167" spans="24:28" x14ac:dyDescent="0.2">
      <c r="X167" s="45"/>
      <c r="Y167" s="45"/>
      <c r="Z167" s="45"/>
      <c r="AA167" s="45"/>
      <c r="AB167" s="45"/>
    </row>
    <row r="168" spans="24:28" x14ac:dyDescent="0.2">
      <c r="X168" s="45"/>
      <c r="Y168" s="45"/>
      <c r="Z168" s="45"/>
      <c r="AA168" s="45"/>
      <c r="AB168" s="45"/>
    </row>
    <row r="169" spans="24:28" x14ac:dyDescent="0.2">
      <c r="X169" s="45"/>
      <c r="Y169" s="45"/>
      <c r="Z169" s="45"/>
      <c r="AA169" s="45"/>
      <c r="AB169" s="45"/>
    </row>
    <row r="170" spans="24:28" x14ac:dyDescent="0.2">
      <c r="X170" s="45"/>
      <c r="Y170" s="45"/>
      <c r="Z170" s="45"/>
      <c r="AA170" s="45"/>
      <c r="AB170" s="45"/>
    </row>
    <row r="171" spans="24:28" x14ac:dyDescent="0.2">
      <c r="X171" s="45"/>
      <c r="Y171" s="45"/>
      <c r="Z171" s="45"/>
      <c r="AA171" s="45"/>
      <c r="AB171" s="45"/>
    </row>
    <row r="172" spans="24:28" x14ac:dyDescent="0.2">
      <c r="X172" s="45"/>
      <c r="Y172" s="45"/>
      <c r="Z172" s="45"/>
      <c r="AA172" s="45"/>
      <c r="AB172" s="45"/>
    </row>
    <row r="173" spans="24:28" x14ac:dyDescent="0.2">
      <c r="X173" s="45"/>
      <c r="Y173" s="45"/>
      <c r="Z173" s="45"/>
      <c r="AA173" s="45"/>
      <c r="AB173" s="45"/>
    </row>
    <row r="174" spans="24:28" x14ac:dyDescent="0.2">
      <c r="X174" s="45"/>
      <c r="Y174" s="45"/>
      <c r="Z174" s="45"/>
      <c r="AA174" s="45"/>
      <c r="AB174" s="45"/>
    </row>
    <row r="175" spans="24:28" x14ac:dyDescent="0.2">
      <c r="X175" s="45"/>
      <c r="Y175" s="45"/>
      <c r="Z175" s="45"/>
      <c r="AA175" s="45"/>
      <c r="AB175" s="45"/>
    </row>
    <row r="176" spans="24:28" x14ac:dyDescent="0.2">
      <c r="X176" s="45"/>
      <c r="Y176" s="45"/>
      <c r="Z176" s="45"/>
      <c r="AA176" s="45"/>
      <c r="AB176" s="45"/>
    </row>
    <row r="177" spans="24:28" x14ac:dyDescent="0.2">
      <c r="X177" s="45"/>
      <c r="Y177" s="45"/>
      <c r="Z177" s="45"/>
      <c r="AA177" s="45"/>
      <c r="AB177" s="45"/>
    </row>
    <row r="178" spans="24:28" x14ac:dyDescent="0.2">
      <c r="X178" s="45"/>
      <c r="Y178" s="45"/>
      <c r="Z178" s="45"/>
      <c r="AA178" s="45"/>
      <c r="AB178" s="45"/>
    </row>
    <row r="179" spans="24:28" x14ac:dyDescent="0.2">
      <c r="X179" s="45"/>
      <c r="Y179" s="45"/>
      <c r="Z179" s="45"/>
      <c r="AA179" s="45"/>
      <c r="AB179" s="45"/>
    </row>
    <row r="180" spans="24:28" x14ac:dyDescent="0.2">
      <c r="X180" s="45"/>
      <c r="Y180" s="45"/>
      <c r="Z180" s="45"/>
      <c r="AA180" s="45"/>
      <c r="AB180" s="45"/>
    </row>
    <row r="181" spans="24:28" x14ac:dyDescent="0.2">
      <c r="X181" s="45"/>
      <c r="Y181" s="45"/>
      <c r="Z181" s="45"/>
      <c r="AA181" s="45"/>
      <c r="AB181" s="45"/>
    </row>
    <row r="182" spans="24:28" x14ac:dyDescent="0.2">
      <c r="X182" s="45"/>
      <c r="Y182" s="45"/>
      <c r="Z182" s="45"/>
      <c r="AA182" s="45"/>
      <c r="AB182" s="45"/>
    </row>
    <row r="183" spans="24:28" x14ac:dyDescent="0.2">
      <c r="X183" s="45"/>
      <c r="Y183" s="45"/>
      <c r="Z183" s="45"/>
      <c r="AA183" s="45"/>
      <c r="AB183" s="45"/>
    </row>
    <row r="184" spans="24:28" x14ac:dyDescent="0.2">
      <c r="X184" s="45"/>
      <c r="Y184" s="45"/>
      <c r="Z184" s="45"/>
      <c r="AA184" s="45"/>
      <c r="AB184" s="45"/>
    </row>
    <row r="185" spans="24:28" x14ac:dyDescent="0.2">
      <c r="X185" s="45"/>
      <c r="Y185" s="45"/>
      <c r="Z185" s="45"/>
      <c r="AA185" s="45"/>
      <c r="AB185" s="45"/>
    </row>
    <row r="186" spans="24:28" x14ac:dyDescent="0.2">
      <c r="X186" s="45"/>
      <c r="Y186" s="45"/>
      <c r="Z186" s="45"/>
      <c r="AA186" s="45"/>
      <c r="AB186" s="45"/>
    </row>
    <row r="187" spans="24:28" x14ac:dyDescent="0.2">
      <c r="X187" s="45"/>
      <c r="Y187" s="45"/>
      <c r="Z187" s="45"/>
      <c r="AA187" s="45"/>
      <c r="AB187" s="45"/>
    </row>
    <row r="188" spans="24:28" x14ac:dyDescent="0.2">
      <c r="X188" s="45"/>
      <c r="Y188" s="45"/>
      <c r="Z188" s="45"/>
      <c r="AA188" s="45"/>
      <c r="AB188" s="45"/>
    </row>
    <row r="189" spans="24:28" x14ac:dyDescent="0.2">
      <c r="X189" s="45"/>
      <c r="Y189" s="45"/>
      <c r="Z189" s="45"/>
      <c r="AA189" s="45"/>
      <c r="AB189" s="45"/>
    </row>
    <row r="190" spans="24:28" x14ac:dyDescent="0.2">
      <c r="X190" s="45"/>
      <c r="Y190" s="45"/>
      <c r="Z190" s="45"/>
      <c r="AA190" s="45"/>
      <c r="AB190" s="45"/>
    </row>
    <row r="191" spans="24:28" x14ac:dyDescent="0.2">
      <c r="X191" s="45"/>
      <c r="Y191" s="45"/>
      <c r="Z191" s="45"/>
      <c r="AA191" s="45"/>
      <c r="AB191" s="45"/>
    </row>
    <row r="192" spans="24:28" x14ac:dyDescent="0.2">
      <c r="X192" s="45"/>
      <c r="Y192" s="45"/>
      <c r="Z192" s="45"/>
      <c r="AA192" s="45"/>
      <c r="AB192" s="45"/>
    </row>
    <row r="193" spans="24:28" x14ac:dyDescent="0.2">
      <c r="X193" s="45"/>
      <c r="Y193" s="45"/>
      <c r="Z193" s="45"/>
      <c r="AA193" s="45"/>
      <c r="AB193" s="45"/>
    </row>
    <row r="194" spans="24:28" x14ac:dyDescent="0.2">
      <c r="X194" s="45"/>
      <c r="Y194" s="45"/>
      <c r="Z194" s="45"/>
      <c r="AA194" s="45"/>
      <c r="AB194" s="45"/>
    </row>
    <row r="195" spans="24:28" x14ac:dyDescent="0.2">
      <c r="X195" s="45"/>
      <c r="Y195" s="45"/>
      <c r="Z195" s="45"/>
      <c r="AA195" s="45"/>
      <c r="AB195" s="45"/>
    </row>
    <row r="196" spans="24:28" x14ac:dyDescent="0.2">
      <c r="X196" s="45"/>
      <c r="Y196" s="45"/>
      <c r="Z196" s="45"/>
      <c r="AA196" s="45"/>
      <c r="AB196" s="45"/>
    </row>
    <row r="197" spans="24:28" x14ac:dyDescent="0.2">
      <c r="X197" s="45"/>
      <c r="Y197" s="45"/>
      <c r="Z197" s="45"/>
      <c r="AA197" s="45"/>
      <c r="AB197" s="45"/>
    </row>
    <row r="198" spans="24:28" x14ac:dyDescent="0.2">
      <c r="X198" s="45"/>
      <c r="Y198" s="45"/>
      <c r="Z198" s="45"/>
      <c r="AA198" s="45"/>
      <c r="AB198" s="45"/>
    </row>
    <row r="199" spans="24:28" x14ac:dyDescent="0.2">
      <c r="X199" s="45"/>
      <c r="Y199" s="45"/>
      <c r="Z199" s="45"/>
      <c r="AA199" s="45"/>
      <c r="AB199" s="45"/>
    </row>
    <row r="200" spans="24:28" x14ac:dyDescent="0.2">
      <c r="X200" s="45"/>
      <c r="Y200" s="45"/>
      <c r="Z200" s="45"/>
      <c r="AA200" s="45"/>
      <c r="AB200" s="45"/>
    </row>
    <row r="201" spans="24:28" x14ac:dyDescent="0.2">
      <c r="X201" s="45"/>
      <c r="Y201" s="45"/>
      <c r="Z201" s="45"/>
      <c r="AA201" s="45"/>
      <c r="AB201" s="45"/>
    </row>
    <row r="202" spans="24:28" x14ac:dyDescent="0.2">
      <c r="X202" s="45"/>
      <c r="Y202" s="45"/>
      <c r="Z202" s="45"/>
      <c r="AA202" s="45"/>
      <c r="AB202" s="45"/>
    </row>
    <row r="203" spans="24:28" x14ac:dyDescent="0.2">
      <c r="X203" s="45"/>
      <c r="Y203" s="45"/>
      <c r="Z203" s="45"/>
      <c r="AA203" s="45"/>
      <c r="AB203" s="45"/>
    </row>
    <row r="204" spans="24:28" x14ac:dyDescent="0.2">
      <c r="X204" s="45"/>
      <c r="Y204" s="45"/>
      <c r="Z204" s="45"/>
      <c r="AA204" s="45"/>
      <c r="AB204" s="45"/>
    </row>
    <row r="205" spans="24:28" x14ac:dyDescent="0.2">
      <c r="X205" s="45"/>
      <c r="Y205" s="45"/>
      <c r="Z205" s="45"/>
      <c r="AA205" s="45"/>
      <c r="AB205" s="45"/>
    </row>
  </sheetData>
  <mergeCells count="12">
    <mergeCell ref="A39:I39"/>
    <mergeCell ref="J39:V39"/>
    <mergeCell ref="W39:AH39"/>
    <mergeCell ref="A58:I58"/>
    <mergeCell ref="J58:V58"/>
    <mergeCell ref="W58:AH58"/>
    <mergeCell ref="J1:V1"/>
    <mergeCell ref="A1:I1"/>
    <mergeCell ref="W1:AH1"/>
    <mergeCell ref="A20:I20"/>
    <mergeCell ref="J20:V20"/>
    <mergeCell ref="W20:AH20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C50EF-C200-448C-AECE-1B3BEB95E33F}">
  <sheetPr codeName="Planilha6"/>
  <dimension ref="A1:AH205"/>
  <sheetViews>
    <sheetView zoomScaleNormal="100" workbookViewId="0">
      <selection activeCell="U41" sqref="U41"/>
    </sheetView>
  </sheetViews>
  <sheetFormatPr defaultColWidth="10.1640625" defaultRowHeight="12.75" x14ac:dyDescent="0.2"/>
  <cols>
    <col min="1" max="1" width="8.33203125" style="31" bestFit="1" customWidth="1"/>
    <col min="2" max="2" width="21.1640625" style="31" bestFit="1" customWidth="1"/>
    <col min="3" max="3" width="3.83203125" style="31" bestFit="1" customWidth="1"/>
    <col min="4" max="4" width="18.33203125" style="44" bestFit="1" customWidth="1"/>
    <col min="5" max="5" width="15" style="44" bestFit="1" customWidth="1"/>
    <col min="6" max="6" width="15" style="31" bestFit="1" customWidth="1"/>
    <col min="7" max="8" width="18.33203125" style="31" bestFit="1" customWidth="1"/>
    <col min="9" max="9" width="2.33203125" style="31" bestFit="1" customWidth="1"/>
    <col min="10" max="10" width="11.1640625" style="23" bestFit="1" customWidth="1"/>
    <col min="11" max="11" width="16.1640625" style="31" bestFit="1" customWidth="1"/>
    <col min="12" max="12" width="17.33203125" style="31" bestFit="1" customWidth="1"/>
    <col min="13" max="13" width="18.33203125" style="31" bestFit="1" customWidth="1"/>
    <col min="14" max="14" width="13.83203125" style="31" bestFit="1" customWidth="1"/>
    <col min="15" max="16" width="15" style="31" bestFit="1" customWidth="1"/>
    <col min="17" max="17" width="13.83203125" style="31" bestFit="1" customWidth="1"/>
    <col min="18" max="19" width="15" style="31" bestFit="1" customWidth="1"/>
    <col min="20" max="20" width="16.1640625" style="31" bestFit="1" customWidth="1"/>
    <col min="21" max="21" width="17.33203125" style="31" bestFit="1" customWidth="1"/>
    <col min="22" max="22" width="18.33203125" style="31" bestFit="1" customWidth="1"/>
    <col min="23" max="23" width="2.33203125" style="31" bestFit="1" customWidth="1"/>
    <col min="24" max="34" width="10.83203125" style="31" customWidth="1"/>
    <col min="35" max="16384" width="10.1640625" style="31"/>
  </cols>
  <sheetData>
    <row r="1" spans="1:34" s="23" customFormat="1" ht="13.5" thickBot="1" x14ac:dyDescent="0.25">
      <c r="A1" s="72" t="s">
        <v>37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3"/>
    </row>
    <row r="2" spans="1:34" s="23" customFormat="1" ht="13.5" thickBot="1" x14ac:dyDescent="0.25">
      <c r="A2" s="48" t="s">
        <v>16</v>
      </c>
      <c r="B2" s="48" t="s">
        <v>41</v>
      </c>
      <c r="C2" s="48" t="s">
        <v>3</v>
      </c>
      <c r="D2" s="48" t="s">
        <v>43</v>
      </c>
      <c r="E2" s="48" t="s">
        <v>44</v>
      </c>
      <c r="F2" s="49" t="s">
        <v>45</v>
      </c>
      <c r="G2" s="49" t="s">
        <v>46</v>
      </c>
      <c r="H2" s="49" t="s">
        <v>47</v>
      </c>
      <c r="I2" s="56"/>
      <c r="J2" s="56" t="s">
        <v>12</v>
      </c>
      <c r="K2" s="56" t="s">
        <v>49</v>
      </c>
      <c r="L2" s="56" t="s">
        <v>50</v>
      </c>
      <c r="M2" s="56" t="s">
        <v>51</v>
      </c>
      <c r="N2" s="57" t="str">
        <f>K$2</f>
        <v>10²</v>
      </c>
      <c r="O2" s="57" t="str">
        <f t="shared" ref="O2:P2" si="0">L$2</f>
        <v>10³</v>
      </c>
      <c r="P2" s="57" t="str">
        <f t="shared" si="0"/>
        <v>10⁴</v>
      </c>
      <c r="Q2" s="58" t="str">
        <f>K$2</f>
        <v>10²</v>
      </c>
      <c r="R2" s="58" t="str">
        <f t="shared" ref="R2:S2" si="1">L$2</f>
        <v>10³</v>
      </c>
      <c r="S2" s="58" t="str">
        <f t="shared" si="1"/>
        <v>10⁴</v>
      </c>
      <c r="T2" s="59" t="str">
        <f>K$2</f>
        <v>10²</v>
      </c>
      <c r="U2" s="59" t="str">
        <f>L$2</f>
        <v>10³</v>
      </c>
      <c r="V2" s="59" t="str">
        <f>M$2</f>
        <v>10⁴</v>
      </c>
      <c r="W2" s="25"/>
      <c r="X2" s="18"/>
      <c r="Y2" s="19"/>
      <c r="Z2" s="19"/>
      <c r="AA2" s="19"/>
      <c r="AB2" s="19"/>
      <c r="AC2" s="56"/>
      <c r="AD2" s="56"/>
      <c r="AE2" s="56"/>
      <c r="AF2" s="56"/>
      <c r="AG2" s="56"/>
      <c r="AH2" s="22"/>
    </row>
    <row r="3" spans="1:34" x14ac:dyDescent="0.2">
      <c r="A3" s="31">
        <v>1000</v>
      </c>
      <c r="B3" s="31" t="s">
        <v>8</v>
      </c>
      <c r="C3" s="31">
        <v>1</v>
      </c>
      <c r="D3" s="52">
        <v>0.44278074866310158</v>
      </c>
      <c r="E3" s="65">
        <v>0</v>
      </c>
      <c r="F3" s="65">
        <v>0</v>
      </c>
      <c r="G3" s="65">
        <v>0.44278074866310158</v>
      </c>
      <c r="H3" s="65">
        <v>0.44278074866310158</v>
      </c>
      <c r="I3" s="32"/>
      <c r="J3" s="24"/>
      <c r="K3" s="32"/>
      <c r="L3" s="32"/>
      <c r="M3" s="32"/>
      <c r="N3" s="32"/>
      <c r="O3" s="32"/>
      <c r="P3" s="32"/>
      <c r="Q3" s="32"/>
      <c r="R3" s="32"/>
      <c r="S3" s="32"/>
      <c r="T3" s="53">
        <f>$D$3</f>
        <v>0.44278074866310158</v>
      </c>
      <c r="U3" s="53">
        <f>$D$8</f>
        <v>4.9646931015752314E-2</v>
      </c>
      <c r="V3" s="53">
        <f>$D$13</f>
        <v>2.5523751720550145E-2</v>
      </c>
      <c r="W3" s="33"/>
      <c r="X3" s="34"/>
      <c r="Y3" s="35"/>
      <c r="Z3" s="35"/>
      <c r="AA3" s="35"/>
      <c r="AB3" s="35"/>
      <c r="AC3" s="32"/>
      <c r="AD3" s="32"/>
      <c r="AE3" s="32"/>
      <c r="AF3" s="32"/>
      <c r="AG3" s="32"/>
      <c r="AH3" s="33"/>
    </row>
    <row r="4" spans="1:34" x14ac:dyDescent="0.2">
      <c r="A4" s="31">
        <v>1000</v>
      </c>
      <c r="B4" s="31" t="s">
        <v>5</v>
      </c>
      <c r="C4" s="31">
        <v>1</v>
      </c>
      <c r="D4" s="52">
        <v>0.42245989304812837</v>
      </c>
      <c r="E4" s="65">
        <v>0</v>
      </c>
      <c r="F4" s="65">
        <v>0</v>
      </c>
      <c r="G4" s="65">
        <v>0.42245989304812837</v>
      </c>
      <c r="H4" s="65">
        <v>0.42245989304812837</v>
      </c>
      <c r="I4" s="32"/>
      <c r="J4" s="24" t="s">
        <v>0</v>
      </c>
      <c r="K4" s="53">
        <f>$D4</f>
        <v>0.42245989304812837</v>
      </c>
      <c r="L4" s="53">
        <f>$D9</f>
        <v>4.4541010320477997E-2</v>
      </c>
      <c r="M4" s="53">
        <f>$D14</f>
        <v>1.201946524759665E-2</v>
      </c>
      <c r="N4" s="54">
        <f>$D4-$G4</f>
        <v>0</v>
      </c>
      <c r="O4" s="54">
        <f>$D9-$G9</f>
        <v>0</v>
      </c>
      <c r="P4" s="54">
        <f>$D14-$G14</f>
        <v>0</v>
      </c>
      <c r="Q4" s="54">
        <f>-$D4+$H4</f>
        <v>0</v>
      </c>
      <c r="R4" s="54">
        <f>-$D9+$H9</f>
        <v>0</v>
      </c>
      <c r="S4" s="54">
        <f>-$D14+$H14</f>
        <v>0</v>
      </c>
      <c r="T4" s="53">
        <f t="shared" ref="T4:T8" si="2">$D$3</f>
        <v>0.44278074866310158</v>
      </c>
      <c r="U4" s="53">
        <f t="shared" ref="U4:U8" si="3">$D$8</f>
        <v>4.9646931015752314E-2</v>
      </c>
      <c r="V4" s="53">
        <f t="shared" ref="V4:V8" si="4">$D$13</f>
        <v>2.5523751720550145E-2</v>
      </c>
      <c r="W4" s="33"/>
      <c r="X4" s="34"/>
      <c r="Y4" s="35"/>
      <c r="Z4" s="35"/>
      <c r="AA4" s="35"/>
      <c r="AB4" s="35"/>
      <c r="AC4" s="32"/>
      <c r="AD4" s="32"/>
      <c r="AE4" s="32"/>
      <c r="AF4" s="32"/>
      <c r="AG4" s="32"/>
      <c r="AH4" s="33"/>
    </row>
    <row r="5" spans="1:34" x14ac:dyDescent="0.2">
      <c r="A5" s="31">
        <v>1000</v>
      </c>
      <c r="B5" s="31" t="s">
        <v>9</v>
      </c>
      <c r="C5" s="31">
        <v>50</v>
      </c>
      <c r="D5" s="52">
        <v>0.39505882352941168</v>
      </c>
      <c r="E5" s="65">
        <v>8.3877624510875319E-3</v>
      </c>
      <c r="F5" s="65">
        <v>1.1862087416291782E-3</v>
      </c>
      <c r="G5" s="65">
        <v>0.39187984107114354</v>
      </c>
      <c r="H5" s="65">
        <v>0.39823780598767983</v>
      </c>
      <c r="I5" s="32"/>
      <c r="J5" s="24" t="s">
        <v>14</v>
      </c>
      <c r="K5" s="53">
        <f t="shared" ref="K5:K7" si="5">$D5</f>
        <v>0.39505882352941168</v>
      </c>
      <c r="L5" s="53">
        <f t="shared" ref="L5:L7" si="6">$D10</f>
        <v>5.0922324823465523E-2</v>
      </c>
      <c r="M5" s="53">
        <f t="shared" ref="M5:M7" si="7">$D15</f>
        <v>1.7378044154464759E-2</v>
      </c>
      <c r="N5" s="54">
        <f t="shared" ref="N5:N7" si="8">$D5-$G5</f>
        <v>3.1789824582681425E-3</v>
      </c>
      <c r="O5" s="54">
        <f t="shared" ref="O5:O7" si="9">$D10-$G10</f>
        <v>4.5407695424601324E-4</v>
      </c>
      <c r="P5" s="54">
        <f t="shared" ref="P5:P7" si="10">$D15-$G15</f>
        <v>1.4746594644783964E-4</v>
      </c>
      <c r="Q5" s="54">
        <f t="shared" ref="Q5:Q7" si="11">-$D5+$H5</f>
        <v>3.1789824582681425E-3</v>
      </c>
      <c r="R5" s="54">
        <f t="shared" ref="R5:R7" si="12">-$D10+$H10</f>
        <v>4.5407695424601324E-4</v>
      </c>
      <c r="S5" s="54">
        <f t="shared" ref="S5:S7" si="13">-$D15+$H15</f>
        <v>1.4746594644783964E-4</v>
      </c>
      <c r="T5" s="53">
        <f t="shared" si="2"/>
        <v>0.44278074866310158</v>
      </c>
      <c r="U5" s="53">
        <f t="shared" si="3"/>
        <v>4.9646931015752314E-2</v>
      </c>
      <c r="V5" s="53">
        <f t="shared" si="4"/>
        <v>2.5523751720550145E-2</v>
      </c>
      <c r="W5" s="33"/>
      <c r="X5" s="34"/>
      <c r="Y5" s="35"/>
      <c r="Z5" s="35"/>
      <c r="AA5" s="35"/>
      <c r="AB5" s="35"/>
      <c r="AC5" s="32"/>
      <c r="AD5" s="32"/>
      <c r="AE5" s="32"/>
      <c r="AF5" s="32"/>
      <c r="AG5" s="32"/>
      <c r="AH5" s="33"/>
    </row>
    <row r="6" spans="1:34" x14ac:dyDescent="0.2">
      <c r="A6" s="31">
        <v>1000</v>
      </c>
      <c r="B6" s="31" t="s">
        <v>10</v>
      </c>
      <c r="C6" s="31">
        <v>100</v>
      </c>
      <c r="D6" s="52">
        <v>0.45164705882352957</v>
      </c>
      <c r="E6" s="65">
        <v>7.7844254367056172E-3</v>
      </c>
      <c r="F6" s="65">
        <v>7.7844254367056176E-4</v>
      </c>
      <c r="G6" s="65">
        <v>0.44960255307865366</v>
      </c>
      <c r="H6" s="65">
        <v>0.45369156456840548</v>
      </c>
      <c r="I6" s="32"/>
      <c r="J6" s="24" t="s">
        <v>1</v>
      </c>
      <c r="K6" s="53">
        <f t="shared" si="5"/>
        <v>0.45164705882352957</v>
      </c>
      <c r="L6" s="53">
        <f t="shared" si="6"/>
        <v>9.3989136338946247E-2</v>
      </c>
      <c r="M6" s="53">
        <f t="shared" si="7"/>
        <v>1.2945690225107567E-2</v>
      </c>
      <c r="N6" s="54">
        <f t="shared" si="8"/>
        <v>2.044505744875913E-3</v>
      </c>
      <c r="O6" s="54">
        <f t="shared" si="9"/>
        <v>1.2121809242730278E-2</v>
      </c>
      <c r="P6" s="54">
        <f t="shared" si="10"/>
        <v>9.7485422630858715E-5</v>
      </c>
      <c r="Q6" s="54">
        <f t="shared" si="11"/>
        <v>2.044505744875913E-3</v>
      </c>
      <c r="R6" s="54">
        <f t="shared" si="12"/>
        <v>1.2121809242730278E-2</v>
      </c>
      <c r="S6" s="54">
        <f t="shared" si="13"/>
        <v>9.7485422630858715E-5</v>
      </c>
      <c r="T6" s="53">
        <f t="shared" si="2"/>
        <v>0.44278074866310158</v>
      </c>
      <c r="U6" s="53">
        <f t="shared" si="3"/>
        <v>4.9646931015752314E-2</v>
      </c>
      <c r="V6" s="53">
        <f t="shared" si="4"/>
        <v>2.5523751720550145E-2</v>
      </c>
      <c r="W6" s="33"/>
      <c r="X6" s="34"/>
      <c r="Y6" s="35"/>
      <c r="Z6" s="35"/>
      <c r="AA6" s="35"/>
      <c r="AB6" s="35"/>
      <c r="AC6" s="32"/>
      <c r="AD6" s="32"/>
      <c r="AE6" s="32"/>
      <c r="AF6" s="32"/>
      <c r="AG6" s="32"/>
      <c r="AH6" s="33"/>
    </row>
    <row r="7" spans="1:34" x14ac:dyDescent="0.2">
      <c r="A7" s="31">
        <v>1000</v>
      </c>
      <c r="B7" s="31" t="s">
        <v>11</v>
      </c>
      <c r="C7" s="31">
        <v>100</v>
      </c>
      <c r="D7" s="52">
        <v>0.45627807486631011</v>
      </c>
      <c r="E7" s="65">
        <v>1.0032721526172092E-2</v>
      </c>
      <c r="F7" s="65">
        <v>1.0032721526172092E-3</v>
      </c>
      <c r="G7" s="65">
        <v>0.45364307540953841</v>
      </c>
      <c r="H7" s="65">
        <v>0.45891307432308182</v>
      </c>
      <c r="I7" s="32"/>
      <c r="J7" s="24" t="s">
        <v>15</v>
      </c>
      <c r="K7" s="53">
        <f t="shared" si="5"/>
        <v>0.45627807486631011</v>
      </c>
      <c r="L7" s="53">
        <f t="shared" si="6"/>
        <v>0.11282781097229767</v>
      </c>
      <c r="M7" s="53">
        <f t="shared" si="7"/>
        <v>2.0267051058341555E-2</v>
      </c>
      <c r="N7" s="54">
        <f t="shared" si="8"/>
        <v>2.6349994567717028E-3</v>
      </c>
      <c r="O7" s="54">
        <f t="shared" si="9"/>
        <v>1.685340906814406E-2</v>
      </c>
      <c r="P7" s="54">
        <f t="shared" si="10"/>
        <v>1.3528356402840724E-4</v>
      </c>
      <c r="Q7" s="54">
        <f t="shared" si="11"/>
        <v>2.6349994567717028E-3</v>
      </c>
      <c r="R7" s="54">
        <f t="shared" si="12"/>
        <v>1.6853409068144073E-2</v>
      </c>
      <c r="S7" s="54">
        <f t="shared" si="13"/>
        <v>1.3528356402840724E-4</v>
      </c>
      <c r="T7" s="53">
        <f t="shared" si="2"/>
        <v>0.44278074866310158</v>
      </c>
      <c r="U7" s="53">
        <f t="shared" si="3"/>
        <v>4.9646931015752314E-2</v>
      </c>
      <c r="V7" s="53">
        <f t="shared" si="4"/>
        <v>2.5523751720550145E-2</v>
      </c>
      <c r="W7" s="33"/>
      <c r="X7" s="34"/>
      <c r="Y7" s="35"/>
      <c r="Z7" s="35"/>
      <c r="AA7" s="35"/>
      <c r="AB7" s="35"/>
      <c r="AC7" s="32"/>
      <c r="AD7" s="32"/>
      <c r="AE7" s="32"/>
      <c r="AF7" s="32"/>
      <c r="AG7" s="32"/>
      <c r="AH7" s="33"/>
    </row>
    <row r="8" spans="1:34" x14ac:dyDescent="0.2">
      <c r="A8" s="31">
        <v>10000</v>
      </c>
      <c r="B8" s="31" t="s">
        <v>8</v>
      </c>
      <c r="C8" s="31">
        <v>1</v>
      </c>
      <c r="D8" s="52">
        <v>4.9646931015752314E-2</v>
      </c>
      <c r="E8" s="65">
        <v>0</v>
      </c>
      <c r="F8" s="65">
        <v>0</v>
      </c>
      <c r="G8" s="65">
        <v>4.9646931015752314E-2</v>
      </c>
      <c r="H8" s="65">
        <v>4.9646931015752314E-2</v>
      </c>
      <c r="I8" s="32"/>
      <c r="J8" s="24"/>
      <c r="K8" s="32"/>
      <c r="L8" s="32"/>
      <c r="M8" s="32"/>
      <c r="N8" s="32"/>
      <c r="O8" s="32"/>
      <c r="P8" s="32"/>
      <c r="T8" s="53">
        <f t="shared" si="2"/>
        <v>0.44278074866310158</v>
      </c>
      <c r="U8" s="53">
        <f t="shared" si="3"/>
        <v>4.9646931015752314E-2</v>
      </c>
      <c r="V8" s="53">
        <f t="shared" si="4"/>
        <v>2.5523751720550145E-2</v>
      </c>
      <c r="W8" s="33"/>
      <c r="X8" s="34"/>
      <c r="Y8" s="35"/>
      <c r="Z8" s="35"/>
      <c r="AA8" s="35"/>
      <c r="AB8" s="35"/>
      <c r="AC8" s="32"/>
      <c r="AD8" s="32"/>
      <c r="AE8" s="32"/>
      <c r="AF8" s="32"/>
      <c r="AG8" s="32"/>
      <c r="AH8" s="33"/>
    </row>
    <row r="9" spans="1:34" x14ac:dyDescent="0.2">
      <c r="A9" s="31">
        <v>10000</v>
      </c>
      <c r="B9" s="31" t="s">
        <v>5</v>
      </c>
      <c r="C9" s="31">
        <v>1</v>
      </c>
      <c r="D9" s="52">
        <v>4.4541010320477997E-2</v>
      </c>
      <c r="E9" s="65">
        <v>0</v>
      </c>
      <c r="F9" s="65">
        <v>0</v>
      </c>
      <c r="G9" s="65">
        <v>4.4541010320477997E-2</v>
      </c>
      <c r="H9" s="65">
        <v>4.4541010320477997E-2</v>
      </c>
      <c r="I9" s="32"/>
      <c r="J9" s="24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3"/>
      <c r="X9" s="34"/>
      <c r="Y9" s="35"/>
      <c r="Z9" s="35"/>
      <c r="AA9" s="35"/>
      <c r="AB9" s="35"/>
      <c r="AC9" s="32"/>
      <c r="AD9" s="32"/>
      <c r="AE9" s="32"/>
      <c r="AF9" s="32"/>
      <c r="AG9" s="32"/>
      <c r="AH9" s="33"/>
    </row>
    <row r="10" spans="1:34" x14ac:dyDescent="0.2">
      <c r="A10" s="31">
        <v>10000</v>
      </c>
      <c r="B10" s="31" t="s">
        <v>9</v>
      </c>
      <c r="C10" s="31">
        <v>50</v>
      </c>
      <c r="D10" s="52">
        <v>5.0922324823465523E-2</v>
      </c>
      <c r="E10" s="65">
        <v>1.1980845055697068E-3</v>
      </c>
      <c r="F10" s="65">
        <v>1.6943473566457433E-4</v>
      </c>
      <c r="G10" s="65">
        <v>5.046824786921951E-2</v>
      </c>
      <c r="H10" s="65">
        <v>5.1376401777711536E-2</v>
      </c>
      <c r="I10" s="32"/>
      <c r="J10" s="24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3"/>
      <c r="X10" s="34"/>
      <c r="Y10" s="35"/>
      <c r="Z10" s="35"/>
      <c r="AA10" s="35"/>
      <c r="AB10" s="35"/>
      <c r="AC10" s="32"/>
      <c r="AD10" s="32"/>
      <c r="AE10" s="32"/>
      <c r="AG10" s="32"/>
      <c r="AH10" s="33"/>
    </row>
    <row r="11" spans="1:34" x14ac:dyDescent="0.2">
      <c r="A11" s="31">
        <v>10000</v>
      </c>
      <c r="B11" s="31" t="s">
        <v>10</v>
      </c>
      <c r="C11" s="31">
        <v>100</v>
      </c>
      <c r="D11" s="52">
        <v>9.3989136338946247E-2</v>
      </c>
      <c r="E11" s="65">
        <v>4.6153609714473562E-2</v>
      </c>
      <c r="F11" s="65">
        <v>4.6153609714473564E-3</v>
      </c>
      <c r="G11" s="65">
        <v>8.1867327096215969E-2</v>
      </c>
      <c r="H11" s="65">
        <v>0.10611094558167652</v>
      </c>
      <c r="I11" s="32"/>
      <c r="J11" s="26"/>
      <c r="K11" s="32"/>
      <c r="L11" s="32"/>
      <c r="M11" s="32"/>
      <c r="N11" s="32"/>
      <c r="O11" s="32"/>
      <c r="P11" s="32"/>
      <c r="Q11" s="32"/>
      <c r="R11" s="37"/>
      <c r="S11" s="32"/>
      <c r="T11" s="32"/>
      <c r="U11" s="32"/>
      <c r="V11" s="32"/>
      <c r="W11" s="33"/>
      <c r="X11" s="34"/>
      <c r="Y11" s="35"/>
      <c r="Z11" s="35"/>
      <c r="AA11" s="35"/>
      <c r="AB11" s="35"/>
      <c r="AC11" s="32"/>
      <c r="AD11" s="32"/>
      <c r="AE11" s="32"/>
      <c r="AF11" s="32"/>
      <c r="AG11" s="32"/>
      <c r="AH11" s="33"/>
    </row>
    <row r="12" spans="1:34" x14ac:dyDescent="0.2">
      <c r="A12" s="31">
        <v>10000</v>
      </c>
      <c r="B12" s="31" t="s">
        <v>11</v>
      </c>
      <c r="C12" s="31">
        <v>100</v>
      </c>
      <c r="D12" s="52">
        <v>0.11282781097229767</v>
      </c>
      <c r="E12" s="65">
        <v>6.4169106188169234E-2</v>
      </c>
      <c r="F12" s="65">
        <v>6.4169106188169235E-3</v>
      </c>
      <c r="G12" s="65">
        <v>9.5974401904153614E-2</v>
      </c>
      <c r="H12" s="65">
        <v>0.12968122004044175</v>
      </c>
      <c r="I12" s="32"/>
      <c r="J12" s="26"/>
      <c r="K12" s="32"/>
      <c r="L12" s="32"/>
      <c r="M12" s="32"/>
      <c r="N12" s="32"/>
      <c r="O12" s="32"/>
      <c r="P12" s="32"/>
      <c r="Q12" s="37"/>
      <c r="R12" s="32"/>
      <c r="S12" s="32"/>
      <c r="T12" s="32"/>
      <c r="U12" s="32"/>
      <c r="V12" s="32"/>
      <c r="W12" s="33"/>
      <c r="X12" s="34"/>
      <c r="Y12" s="35"/>
      <c r="Z12" s="35"/>
      <c r="AA12" s="35"/>
      <c r="AB12" s="35"/>
      <c r="AC12" s="32"/>
      <c r="AD12" s="32"/>
      <c r="AE12" s="32"/>
      <c r="AF12" s="32"/>
      <c r="AG12" s="32"/>
      <c r="AH12" s="33"/>
    </row>
    <row r="13" spans="1:34" x14ac:dyDescent="0.2">
      <c r="A13" s="31">
        <v>100000</v>
      </c>
      <c r="B13" s="31" t="s">
        <v>8</v>
      </c>
      <c r="C13" s="31">
        <v>1</v>
      </c>
      <c r="D13" s="52">
        <v>2.5523751720550145E-2</v>
      </c>
      <c r="E13" s="65">
        <v>0</v>
      </c>
      <c r="F13" s="65">
        <v>0</v>
      </c>
      <c r="G13" s="65">
        <v>2.5523751720550145E-2</v>
      </c>
      <c r="H13" s="65">
        <v>2.5523751720550145E-2</v>
      </c>
      <c r="I13" s="32"/>
      <c r="J13" s="27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3"/>
      <c r="X13" s="34"/>
      <c r="Y13" s="35"/>
      <c r="Z13" s="35"/>
      <c r="AA13" s="35"/>
      <c r="AB13" s="35"/>
      <c r="AC13" s="32"/>
      <c r="AD13" s="32"/>
      <c r="AE13" s="32"/>
      <c r="AF13" s="32"/>
      <c r="AG13" s="32"/>
      <c r="AH13" s="33"/>
    </row>
    <row r="14" spans="1:34" x14ac:dyDescent="0.2">
      <c r="A14" s="31">
        <v>100000</v>
      </c>
      <c r="B14" s="31" t="s">
        <v>5</v>
      </c>
      <c r="C14" s="31">
        <v>1</v>
      </c>
      <c r="D14" s="52">
        <v>1.201946524759665E-2</v>
      </c>
      <c r="E14" s="65">
        <v>0</v>
      </c>
      <c r="F14" s="65">
        <v>0</v>
      </c>
      <c r="G14" s="65">
        <v>1.201946524759665E-2</v>
      </c>
      <c r="H14" s="65">
        <v>1.201946524759665E-2</v>
      </c>
      <c r="I14" s="32"/>
      <c r="J14" s="26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3"/>
      <c r="X14" s="34"/>
      <c r="Y14" s="35"/>
      <c r="Z14" s="35"/>
      <c r="AA14" s="35"/>
      <c r="AB14" s="35"/>
      <c r="AC14" s="32"/>
      <c r="AD14" s="32"/>
      <c r="AE14" s="32"/>
      <c r="AF14" s="32"/>
      <c r="AG14" s="32"/>
      <c r="AH14" s="33"/>
    </row>
    <row r="15" spans="1:34" x14ac:dyDescent="0.2">
      <c r="A15" s="31">
        <v>100000</v>
      </c>
      <c r="B15" s="31" t="s">
        <v>9</v>
      </c>
      <c r="C15" s="31">
        <v>50</v>
      </c>
      <c r="D15" s="52">
        <v>1.7378044154464759E-2</v>
      </c>
      <c r="E15" s="65">
        <v>3.8908969919359914E-4</v>
      </c>
      <c r="F15" s="65">
        <v>5.5025592957925581E-5</v>
      </c>
      <c r="G15" s="65">
        <v>1.723057820801692E-2</v>
      </c>
      <c r="H15" s="65">
        <v>1.7525510100912599E-2</v>
      </c>
      <c r="I15" s="32"/>
      <c r="J15" s="24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3"/>
      <c r="X15" s="34"/>
      <c r="Y15" s="35"/>
      <c r="Z15" s="35"/>
      <c r="AA15" s="35"/>
      <c r="AB15" s="35"/>
      <c r="AC15" s="32"/>
      <c r="AD15" s="32"/>
      <c r="AE15" s="32"/>
      <c r="AF15" s="32"/>
      <c r="AG15" s="32"/>
      <c r="AH15" s="33"/>
    </row>
    <row r="16" spans="1:34" x14ac:dyDescent="0.2">
      <c r="A16" s="31">
        <v>100000</v>
      </c>
      <c r="B16" s="31" t="s">
        <v>10</v>
      </c>
      <c r="C16" s="31">
        <v>50</v>
      </c>
      <c r="D16" s="52">
        <v>1.2945690225107567E-2</v>
      </c>
      <c r="E16" s="65">
        <v>2.5721581613161138E-4</v>
      </c>
      <c r="F16" s="65">
        <v>3.6375809563018913E-5</v>
      </c>
      <c r="G16" s="65">
        <v>1.2848204802476709E-2</v>
      </c>
      <c r="H16" s="65">
        <v>1.3043175647738426E-2</v>
      </c>
      <c r="I16" s="32"/>
      <c r="J16" s="24"/>
      <c r="K16" s="32"/>
      <c r="L16" s="32"/>
      <c r="M16" s="32"/>
      <c r="N16" s="32"/>
      <c r="O16" s="32"/>
      <c r="P16" s="32"/>
      <c r="Q16" s="37"/>
      <c r="R16" s="37"/>
      <c r="S16" s="32"/>
      <c r="T16" s="32"/>
      <c r="U16" s="32"/>
      <c r="V16" s="32"/>
      <c r="W16" s="33"/>
      <c r="X16" s="34"/>
      <c r="Y16" s="35"/>
      <c r="Z16" s="35"/>
      <c r="AA16" s="35"/>
      <c r="AB16" s="35"/>
      <c r="AC16" s="32"/>
      <c r="AD16" s="32"/>
      <c r="AE16" s="32"/>
      <c r="AF16" s="32"/>
      <c r="AG16" s="32"/>
      <c r="AH16" s="33"/>
    </row>
    <row r="17" spans="1:34" x14ac:dyDescent="0.2">
      <c r="A17" s="31">
        <v>100000</v>
      </c>
      <c r="B17" s="31" t="s">
        <v>11</v>
      </c>
      <c r="C17" s="31">
        <v>50</v>
      </c>
      <c r="D17" s="52">
        <v>2.0267051058341555E-2</v>
      </c>
      <c r="E17" s="65">
        <v>3.5694641713278737E-4</v>
      </c>
      <c r="F17" s="65">
        <v>5.0479846414967197E-5</v>
      </c>
      <c r="G17" s="65">
        <v>2.0131767494313148E-2</v>
      </c>
      <c r="H17" s="65">
        <v>2.0402334622369962E-2</v>
      </c>
      <c r="I17" s="32"/>
      <c r="J17" s="24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3"/>
      <c r="X17" s="34"/>
      <c r="Y17" s="35"/>
      <c r="Z17" s="35"/>
      <c r="AA17" s="35"/>
      <c r="AB17" s="35"/>
      <c r="AC17" s="32"/>
      <c r="AD17" s="32"/>
      <c r="AE17" s="32"/>
      <c r="AF17" s="32"/>
      <c r="AG17" s="32"/>
      <c r="AH17" s="33"/>
    </row>
    <row r="18" spans="1:34" ht="13.5" thickBot="1" x14ac:dyDescent="0.25">
      <c r="A18" s="38"/>
      <c r="B18" s="39"/>
      <c r="C18" s="39"/>
      <c r="D18" s="40"/>
      <c r="E18" s="40"/>
      <c r="F18" s="39"/>
      <c r="G18" s="39"/>
      <c r="H18" s="39"/>
      <c r="I18" s="39"/>
      <c r="J18" s="28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41"/>
      <c r="X18" s="42"/>
      <c r="Y18" s="43"/>
      <c r="Z18" s="43"/>
      <c r="AA18" s="43"/>
      <c r="AB18" s="43"/>
      <c r="AC18" s="39"/>
      <c r="AD18" s="39"/>
      <c r="AE18" s="39"/>
      <c r="AF18" s="39"/>
      <c r="AG18" s="39"/>
      <c r="AH18" s="41"/>
    </row>
    <row r="19" spans="1:34" ht="13.5" thickBot="1" x14ac:dyDescent="0.25">
      <c r="I19" s="31" t="s">
        <v>13</v>
      </c>
      <c r="W19" s="31" t="s">
        <v>13</v>
      </c>
      <c r="X19" s="45"/>
      <c r="Y19" s="45"/>
      <c r="Z19" s="45"/>
      <c r="AA19" s="45"/>
      <c r="AB19" s="45"/>
    </row>
    <row r="20" spans="1:34" s="23" customFormat="1" ht="13.5" thickBot="1" x14ac:dyDescent="0.25">
      <c r="A20" s="72" t="s">
        <v>38</v>
      </c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3"/>
    </row>
    <row r="21" spans="1:34" s="23" customFormat="1" ht="13.5" thickBot="1" x14ac:dyDescent="0.25">
      <c r="A21" s="48" t="s">
        <v>16</v>
      </c>
      <c r="B21" s="48" t="s">
        <v>41</v>
      </c>
      <c r="C21" s="48" t="s">
        <v>3</v>
      </c>
      <c r="D21" s="48" t="s">
        <v>43</v>
      </c>
      <c r="E21" s="48" t="s">
        <v>44</v>
      </c>
      <c r="F21" s="49" t="s">
        <v>45</v>
      </c>
      <c r="G21" s="49" t="s">
        <v>46</v>
      </c>
      <c r="H21" s="49" t="s">
        <v>47</v>
      </c>
      <c r="I21" s="56"/>
      <c r="J21" s="56" t="s">
        <v>12</v>
      </c>
      <c r="K21" s="56" t="s">
        <v>49</v>
      </c>
      <c r="L21" s="56" t="s">
        <v>50</v>
      </c>
      <c r="M21" s="56" t="s">
        <v>51</v>
      </c>
      <c r="N21" s="57" t="str">
        <f>K$2</f>
        <v>10²</v>
      </c>
      <c r="O21" s="57" t="str">
        <f t="shared" ref="O21:P21" si="14">L$2</f>
        <v>10³</v>
      </c>
      <c r="P21" s="57" t="str">
        <f t="shared" si="14"/>
        <v>10⁴</v>
      </c>
      <c r="Q21" s="58" t="str">
        <f>K$2</f>
        <v>10²</v>
      </c>
      <c r="R21" s="58" t="str">
        <f t="shared" ref="R21:S21" si="15">L$2</f>
        <v>10³</v>
      </c>
      <c r="S21" s="58" t="str">
        <f t="shared" si="15"/>
        <v>10⁴</v>
      </c>
      <c r="T21" s="59" t="str">
        <f>K$2</f>
        <v>10²</v>
      </c>
      <c r="U21" s="59" t="str">
        <f>L$2</f>
        <v>10³</v>
      </c>
      <c r="V21" s="59" t="str">
        <f>M$2</f>
        <v>10⁴</v>
      </c>
      <c r="W21" s="22"/>
      <c r="X21" s="30"/>
      <c r="Y21" s="30"/>
      <c r="Z21" s="30"/>
      <c r="AA21" s="30"/>
      <c r="AB21" s="30"/>
      <c r="AC21" s="28"/>
      <c r="AD21" s="28"/>
      <c r="AE21" s="28"/>
      <c r="AF21" s="28"/>
      <c r="AG21" s="28"/>
      <c r="AH21" s="29"/>
    </row>
    <row r="22" spans="1:34" x14ac:dyDescent="0.2">
      <c r="A22" s="31">
        <v>1000</v>
      </c>
      <c r="B22" s="31" t="s">
        <v>8</v>
      </c>
      <c r="C22" s="31">
        <v>1</v>
      </c>
      <c r="D22" s="50">
        <v>94.875901999999996</v>
      </c>
      <c r="E22" s="50">
        <v>0</v>
      </c>
      <c r="F22" s="50">
        <v>0</v>
      </c>
      <c r="G22" s="50">
        <v>94.875901999999996</v>
      </c>
      <c r="H22" s="50">
        <v>94.875901999999996</v>
      </c>
      <c r="I22" s="32"/>
      <c r="J22" s="24"/>
      <c r="K22" s="32"/>
      <c r="L22" s="32"/>
      <c r="M22" s="32"/>
      <c r="N22" s="32"/>
      <c r="O22" s="32"/>
      <c r="P22" s="32"/>
      <c r="Q22" s="32"/>
      <c r="R22" s="32"/>
      <c r="S22" s="32"/>
      <c r="T22" s="51">
        <f>$D$22</f>
        <v>94.875901999999996</v>
      </c>
      <c r="U22" s="51">
        <f>$D$27</f>
        <v>655.08153860000004</v>
      </c>
      <c r="V22" s="51">
        <f>$D$32</f>
        <v>3815.1011147999998</v>
      </c>
      <c r="W22" s="33"/>
      <c r="X22" s="35"/>
      <c r="Y22" s="35"/>
      <c r="Z22" s="35"/>
      <c r="AA22" s="35"/>
      <c r="AB22" s="35"/>
      <c r="AC22" s="32"/>
      <c r="AD22" s="32"/>
      <c r="AE22" s="32"/>
      <c r="AF22" s="32"/>
      <c r="AG22" s="32"/>
      <c r="AH22" s="33"/>
    </row>
    <row r="23" spans="1:34" x14ac:dyDescent="0.2">
      <c r="A23" s="31">
        <v>1000</v>
      </c>
      <c r="B23" s="31" t="s">
        <v>5</v>
      </c>
      <c r="C23" s="31">
        <v>1</v>
      </c>
      <c r="D23" s="50">
        <v>2.2702E-3</v>
      </c>
      <c r="E23" s="50">
        <v>0</v>
      </c>
      <c r="F23" s="50">
        <v>0</v>
      </c>
      <c r="G23" s="50">
        <v>2.2702E-3</v>
      </c>
      <c r="H23" s="50">
        <v>2.2702E-3</v>
      </c>
      <c r="I23" s="32"/>
      <c r="J23" s="24" t="s">
        <v>0</v>
      </c>
      <c r="K23" s="51">
        <f>$D23</f>
        <v>2.2702E-3</v>
      </c>
      <c r="L23" s="51">
        <f>$D28</f>
        <v>2.29806E-2</v>
      </c>
      <c r="M23" s="51">
        <f>$D33</f>
        <v>0.21190809999999999</v>
      </c>
      <c r="N23" s="55">
        <f>$D23-$G23</f>
        <v>0</v>
      </c>
      <c r="O23" s="55">
        <f>$D28-$G28</f>
        <v>0</v>
      </c>
      <c r="P23" s="55">
        <f>$D33-$G33</f>
        <v>0</v>
      </c>
      <c r="Q23" s="55">
        <f>-$D23+$H23</f>
        <v>0</v>
      </c>
      <c r="R23" s="55">
        <f>-$D28+$H28</f>
        <v>0</v>
      </c>
      <c r="S23" s="55">
        <f>-$D33+$H33</f>
        <v>0</v>
      </c>
      <c r="T23" s="51">
        <f t="shared" ref="T23:T27" si="16">$D$22</f>
        <v>94.875901999999996</v>
      </c>
      <c r="U23" s="51">
        <f t="shared" ref="U23:U27" si="17">$D$27</f>
        <v>655.08153860000004</v>
      </c>
      <c r="V23" s="51">
        <f t="shared" ref="V23:V27" si="18">$D$32</f>
        <v>3815.1011147999998</v>
      </c>
      <c r="W23" s="33"/>
      <c r="X23" s="35"/>
      <c r="Y23" s="35"/>
      <c r="Z23" s="35"/>
      <c r="AA23" s="35"/>
      <c r="AB23" s="35"/>
      <c r="AC23" s="32"/>
      <c r="AD23" s="32"/>
      <c r="AE23" s="32"/>
      <c r="AF23" s="32"/>
      <c r="AG23" s="32"/>
      <c r="AH23" s="33"/>
    </row>
    <row r="24" spans="1:34" x14ac:dyDescent="0.2">
      <c r="A24" s="31">
        <v>1000</v>
      </c>
      <c r="B24" s="31" t="s">
        <v>9</v>
      </c>
      <c r="C24" s="31">
        <v>50</v>
      </c>
      <c r="D24" s="50">
        <v>1.7123999999999997E-4</v>
      </c>
      <c r="E24" s="50">
        <v>1.7828445512375868E-5</v>
      </c>
      <c r="F24" s="50">
        <v>2.5213229439631694E-6</v>
      </c>
      <c r="G24" s="50">
        <v>1.6448297560016335E-4</v>
      </c>
      <c r="H24" s="50">
        <v>1.7799702439983659E-4</v>
      </c>
      <c r="I24" s="32"/>
      <c r="J24" s="24" t="s">
        <v>14</v>
      </c>
      <c r="K24" s="51">
        <f t="shared" ref="K24:K26" si="19">$D24</f>
        <v>1.7123999999999997E-4</v>
      </c>
      <c r="L24" s="51">
        <f t="shared" ref="L24:L26" si="20">$D29</f>
        <v>1.3865059999999998E-3</v>
      </c>
      <c r="M24" s="51">
        <f t="shared" ref="M24:M26" si="21">$D34</f>
        <v>1.1102568000000005E-2</v>
      </c>
      <c r="N24" s="55">
        <f t="shared" ref="N24:N26" si="22">$D24-$G24</f>
        <v>6.7570243998366195E-6</v>
      </c>
      <c r="O24" s="55">
        <f t="shared" ref="O24:O26" si="23">$D29-$G29</f>
        <v>2.9260554935101914E-5</v>
      </c>
      <c r="P24" s="55">
        <f t="shared" ref="P24:P26" si="24">$D34-$G34</f>
        <v>9.3575172097567355E-5</v>
      </c>
      <c r="Q24" s="55">
        <f t="shared" ref="Q24:Q26" si="25">-$D24+$H24</f>
        <v>6.7570243998366195E-6</v>
      </c>
      <c r="R24" s="55">
        <f t="shared" ref="R24:R26" si="26">-$D29+$H29</f>
        <v>2.9260554935101914E-5</v>
      </c>
      <c r="S24" s="55">
        <f t="shared" ref="S24:S26" si="27">-$D34+$H34</f>
        <v>9.3575172097567355E-5</v>
      </c>
      <c r="T24" s="51">
        <f t="shared" si="16"/>
        <v>94.875901999999996</v>
      </c>
      <c r="U24" s="51">
        <f t="shared" si="17"/>
        <v>655.08153860000004</v>
      </c>
      <c r="V24" s="51">
        <f t="shared" si="18"/>
        <v>3815.1011147999998</v>
      </c>
      <c r="W24" s="33"/>
      <c r="X24" s="35"/>
      <c r="Y24" s="35"/>
      <c r="Z24" s="35"/>
      <c r="AA24" s="35"/>
      <c r="AB24" s="35"/>
      <c r="AC24" s="32"/>
      <c r="AD24" s="32"/>
      <c r="AE24" s="32"/>
      <c r="AF24" s="32"/>
      <c r="AG24" s="32"/>
      <c r="AH24" s="33"/>
    </row>
    <row r="25" spans="1:34" x14ac:dyDescent="0.2">
      <c r="A25" s="31">
        <v>1000</v>
      </c>
      <c r="B25" s="31" t="s">
        <v>10</v>
      </c>
      <c r="C25" s="31">
        <v>100</v>
      </c>
      <c r="D25" s="50">
        <v>0.32818826599999995</v>
      </c>
      <c r="E25" s="50">
        <v>0.26142356647679243</v>
      </c>
      <c r="F25" s="50">
        <v>2.6142356647679242E-2</v>
      </c>
      <c r="G25" s="50">
        <v>0.25952783783435346</v>
      </c>
      <c r="H25" s="50">
        <v>0.39684869416564644</v>
      </c>
      <c r="I25" s="32"/>
      <c r="J25" s="24" t="s">
        <v>1</v>
      </c>
      <c r="K25" s="51">
        <f t="shared" si="19"/>
        <v>0.32818826599999995</v>
      </c>
      <c r="L25" s="51">
        <f t="shared" si="20"/>
        <v>5.1432382090000006</v>
      </c>
      <c r="M25" s="51">
        <f t="shared" si="21"/>
        <v>39.106785873999996</v>
      </c>
      <c r="N25" s="55">
        <f t="shared" si="22"/>
        <v>6.8660428165646492E-2</v>
      </c>
      <c r="O25" s="55">
        <f t="shared" si="23"/>
        <v>1.0952224210669197</v>
      </c>
      <c r="P25" s="55">
        <f t="shared" si="24"/>
        <v>8.9422373266508259E-2</v>
      </c>
      <c r="Q25" s="55">
        <f t="shared" si="25"/>
        <v>6.8660428165646492E-2</v>
      </c>
      <c r="R25" s="55">
        <f t="shared" si="26"/>
        <v>1.0952224210669197</v>
      </c>
      <c r="S25" s="55">
        <f t="shared" si="27"/>
        <v>8.9422373266508259E-2</v>
      </c>
      <c r="T25" s="51">
        <f t="shared" si="16"/>
        <v>94.875901999999996</v>
      </c>
      <c r="U25" s="51">
        <f t="shared" si="17"/>
        <v>655.08153860000004</v>
      </c>
      <c r="V25" s="51">
        <f t="shared" si="18"/>
        <v>3815.1011147999998</v>
      </c>
      <c r="W25" s="33"/>
      <c r="X25" s="35"/>
      <c r="Y25" s="35"/>
      <c r="Z25" s="35"/>
      <c r="AA25" s="35"/>
      <c r="AB25" s="35"/>
      <c r="AC25" s="32"/>
      <c r="AD25" s="32"/>
      <c r="AE25" s="32"/>
      <c r="AF25" s="32"/>
      <c r="AG25" s="32"/>
      <c r="AH25" s="33"/>
    </row>
    <row r="26" spans="1:34" x14ac:dyDescent="0.2">
      <c r="A26" s="31">
        <v>1000</v>
      </c>
      <c r="B26" s="31" t="s">
        <v>11</v>
      </c>
      <c r="C26" s="31">
        <v>100</v>
      </c>
      <c r="D26" s="50">
        <v>0.36770738700000011</v>
      </c>
      <c r="E26" s="50">
        <v>0.2819665748786172</v>
      </c>
      <c r="F26" s="50">
        <v>2.819665748786172E-2</v>
      </c>
      <c r="G26" s="50">
        <v>0.29365153189680177</v>
      </c>
      <c r="H26" s="50">
        <v>0.44176324210319845</v>
      </c>
      <c r="I26" s="32"/>
      <c r="J26" s="24" t="s">
        <v>15</v>
      </c>
      <c r="K26" s="51">
        <f t="shared" si="19"/>
        <v>0.36770738700000011</v>
      </c>
      <c r="L26" s="51">
        <f t="shared" si="20"/>
        <v>8.196249642999998</v>
      </c>
      <c r="M26" s="51">
        <f t="shared" si="21"/>
        <v>67.477600288000005</v>
      </c>
      <c r="N26" s="55">
        <f t="shared" si="22"/>
        <v>7.4055855103198343E-2</v>
      </c>
      <c r="O26" s="55">
        <f t="shared" si="23"/>
        <v>1.6460655950699756</v>
      </c>
      <c r="P26" s="55">
        <f t="shared" si="24"/>
        <v>0.35662252945418516</v>
      </c>
      <c r="Q26" s="55">
        <f t="shared" si="25"/>
        <v>7.4055855103198343E-2</v>
      </c>
      <c r="R26" s="55">
        <f t="shared" si="26"/>
        <v>1.6460655950699756</v>
      </c>
      <c r="S26" s="55">
        <f t="shared" si="27"/>
        <v>0.35662252945418516</v>
      </c>
      <c r="T26" s="51">
        <f t="shared" si="16"/>
        <v>94.875901999999996</v>
      </c>
      <c r="U26" s="51">
        <f t="shared" si="17"/>
        <v>655.08153860000004</v>
      </c>
      <c r="V26" s="51">
        <f t="shared" si="18"/>
        <v>3815.1011147999998</v>
      </c>
      <c r="W26" s="33"/>
      <c r="X26" s="35"/>
      <c r="Y26" s="35"/>
      <c r="Z26" s="35"/>
      <c r="AA26" s="35"/>
      <c r="AB26" s="35"/>
      <c r="AC26" s="32"/>
      <c r="AD26" s="32"/>
      <c r="AE26" s="32"/>
      <c r="AF26" s="32"/>
      <c r="AG26" s="32"/>
      <c r="AH26" s="33"/>
    </row>
    <row r="27" spans="1:34" x14ac:dyDescent="0.2">
      <c r="A27" s="31">
        <v>10000</v>
      </c>
      <c r="B27" s="31" t="s">
        <v>8</v>
      </c>
      <c r="C27" s="31">
        <v>1</v>
      </c>
      <c r="D27" s="50">
        <v>655.08153860000004</v>
      </c>
      <c r="E27" s="50">
        <v>0</v>
      </c>
      <c r="F27" s="50">
        <v>0</v>
      </c>
      <c r="G27" s="50">
        <v>655.08153860000004</v>
      </c>
      <c r="H27" s="50">
        <v>655.08153860000004</v>
      </c>
      <c r="I27" s="32"/>
      <c r="J27" s="24"/>
      <c r="K27" s="32"/>
      <c r="L27" s="32"/>
      <c r="M27" s="32"/>
      <c r="N27" s="32"/>
      <c r="O27" s="32"/>
      <c r="P27" s="32"/>
      <c r="T27" s="51">
        <f t="shared" si="16"/>
        <v>94.875901999999996</v>
      </c>
      <c r="U27" s="51">
        <f t="shared" si="17"/>
        <v>655.08153860000004</v>
      </c>
      <c r="V27" s="51">
        <f t="shared" si="18"/>
        <v>3815.1011147999998</v>
      </c>
      <c r="W27" s="33"/>
      <c r="X27" s="35"/>
      <c r="Y27" s="35"/>
      <c r="Z27" s="35"/>
      <c r="AA27" s="35"/>
      <c r="AB27" s="35"/>
      <c r="AC27" s="32"/>
      <c r="AD27" s="32"/>
      <c r="AE27" s="32"/>
      <c r="AF27" s="32"/>
      <c r="AG27" s="32"/>
      <c r="AH27" s="33"/>
    </row>
    <row r="28" spans="1:34" x14ac:dyDescent="0.2">
      <c r="A28" s="31">
        <v>10000</v>
      </c>
      <c r="B28" s="31" t="s">
        <v>5</v>
      </c>
      <c r="C28" s="31">
        <v>1</v>
      </c>
      <c r="D28" s="50">
        <v>2.29806E-2</v>
      </c>
      <c r="E28" s="50">
        <v>0</v>
      </c>
      <c r="F28" s="50">
        <v>0</v>
      </c>
      <c r="G28" s="50">
        <v>2.29806E-2</v>
      </c>
      <c r="H28" s="50">
        <v>2.29806E-2</v>
      </c>
      <c r="I28" s="32"/>
      <c r="J28" s="24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/>
      <c r="X28" s="35"/>
      <c r="Y28" s="35"/>
      <c r="Z28" s="35"/>
      <c r="AA28" s="35"/>
      <c r="AB28" s="35"/>
      <c r="AC28" s="32"/>
      <c r="AD28" s="32"/>
      <c r="AE28" s="32"/>
      <c r="AF28" s="32"/>
      <c r="AG28" s="32"/>
      <c r="AH28" s="33"/>
    </row>
    <row r="29" spans="1:34" x14ac:dyDescent="0.2">
      <c r="A29" s="31">
        <v>10000</v>
      </c>
      <c r="B29" s="31" t="s">
        <v>9</v>
      </c>
      <c r="C29" s="31">
        <v>50</v>
      </c>
      <c r="D29" s="50">
        <v>1.3865059999999998E-3</v>
      </c>
      <c r="E29" s="50">
        <v>7.7204132833227343E-5</v>
      </c>
      <c r="F29" s="50">
        <v>1.0918313172400406E-5</v>
      </c>
      <c r="G29" s="50">
        <v>1.3572454450648979E-3</v>
      </c>
      <c r="H29" s="50">
        <v>1.4157665549351017E-3</v>
      </c>
      <c r="I29" s="32"/>
      <c r="J29" s="24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/>
      <c r="X29" s="35"/>
      <c r="Y29" s="35"/>
      <c r="Z29" s="35"/>
      <c r="AA29" s="35"/>
      <c r="AB29" s="35"/>
      <c r="AC29" s="32"/>
      <c r="AD29" s="32"/>
      <c r="AE29" s="32"/>
      <c r="AF29" s="32"/>
      <c r="AG29" s="32"/>
      <c r="AH29" s="33"/>
    </row>
    <row r="30" spans="1:34" x14ac:dyDescent="0.2">
      <c r="A30" s="31">
        <v>10000</v>
      </c>
      <c r="B30" s="31" t="s">
        <v>10</v>
      </c>
      <c r="C30" s="31">
        <v>100</v>
      </c>
      <c r="D30" s="50">
        <v>5.1432382090000006</v>
      </c>
      <c r="E30" s="50">
        <v>4.1700431973699379</v>
      </c>
      <c r="F30" s="50">
        <v>0.41700431973699381</v>
      </c>
      <c r="G30" s="50">
        <v>4.0480157879330809</v>
      </c>
      <c r="H30" s="50">
        <v>6.2384606300669203</v>
      </c>
      <c r="I30" s="32"/>
      <c r="J30" s="24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/>
      <c r="X30" s="35"/>
      <c r="Y30" s="35"/>
      <c r="Z30" s="35"/>
      <c r="AA30" s="35"/>
      <c r="AB30" s="35"/>
      <c r="AC30" s="32"/>
      <c r="AD30" s="32"/>
      <c r="AE30" s="32"/>
      <c r="AF30" s="32"/>
      <c r="AG30" s="32"/>
      <c r="AH30" s="33"/>
    </row>
    <row r="31" spans="1:34" x14ac:dyDescent="0.2">
      <c r="A31" s="31">
        <v>10000</v>
      </c>
      <c r="B31" s="31" t="s">
        <v>11</v>
      </c>
      <c r="C31" s="31">
        <v>100</v>
      </c>
      <c r="D31" s="50">
        <v>8.196249642999998</v>
      </c>
      <c r="E31" s="50">
        <v>6.2673704492457984</v>
      </c>
      <c r="F31" s="50">
        <v>0.62673704492457982</v>
      </c>
      <c r="G31" s="50">
        <v>6.5501840479300224</v>
      </c>
      <c r="H31" s="50">
        <v>9.8423152380699737</v>
      </c>
      <c r="I31" s="32"/>
      <c r="J31" s="24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/>
      <c r="X31" s="35"/>
      <c r="Y31" s="35"/>
      <c r="Z31" s="35"/>
      <c r="AA31" s="35"/>
      <c r="AB31" s="35"/>
      <c r="AC31" s="32"/>
      <c r="AD31" s="32"/>
      <c r="AE31" s="32"/>
      <c r="AF31" s="32"/>
      <c r="AG31" s="32"/>
      <c r="AH31" s="33"/>
    </row>
    <row r="32" spans="1:34" x14ac:dyDescent="0.2">
      <c r="A32" s="31">
        <v>100000</v>
      </c>
      <c r="B32" s="31" t="s">
        <v>8</v>
      </c>
      <c r="C32" s="31">
        <v>1</v>
      </c>
      <c r="D32" s="50">
        <v>3815.1011147999998</v>
      </c>
      <c r="E32" s="50">
        <v>0</v>
      </c>
      <c r="F32" s="50">
        <v>0</v>
      </c>
      <c r="G32" s="50">
        <v>3815.1011147999998</v>
      </c>
      <c r="H32" s="50">
        <v>3815.1011147999998</v>
      </c>
      <c r="I32" s="32"/>
      <c r="J32" s="24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/>
      <c r="X32" s="35"/>
      <c r="Y32" s="35"/>
      <c r="Z32" s="35"/>
      <c r="AA32" s="35"/>
      <c r="AB32" s="35"/>
      <c r="AC32" s="32"/>
      <c r="AD32" s="32"/>
      <c r="AE32" s="32"/>
      <c r="AF32" s="32"/>
      <c r="AG32" s="32"/>
      <c r="AH32" s="33"/>
    </row>
    <row r="33" spans="1:34" x14ac:dyDescent="0.2">
      <c r="A33" s="31">
        <v>100000</v>
      </c>
      <c r="B33" s="31" t="s">
        <v>5</v>
      </c>
      <c r="C33" s="31">
        <v>1</v>
      </c>
      <c r="D33" s="50">
        <v>0.21190809999999999</v>
      </c>
      <c r="E33" s="50">
        <v>0</v>
      </c>
      <c r="F33" s="50">
        <v>0</v>
      </c>
      <c r="G33" s="50">
        <v>0.21190809999999999</v>
      </c>
      <c r="H33" s="50">
        <v>0.21190809999999999</v>
      </c>
      <c r="I33" s="32"/>
      <c r="J33" s="24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/>
      <c r="X33" s="35"/>
      <c r="Y33" s="35"/>
      <c r="Z33" s="35"/>
      <c r="AA33" s="35"/>
      <c r="AB33" s="35"/>
      <c r="AC33" s="32"/>
      <c r="AD33" s="32"/>
      <c r="AE33" s="32"/>
      <c r="AF33" s="32"/>
      <c r="AG33" s="32"/>
      <c r="AH33" s="33"/>
    </row>
    <row r="34" spans="1:34" x14ac:dyDescent="0.2">
      <c r="A34" s="31">
        <v>100000</v>
      </c>
      <c r="B34" s="31" t="s">
        <v>9</v>
      </c>
      <c r="C34" s="31">
        <v>50</v>
      </c>
      <c r="D34" s="50">
        <v>1.1102568000000005E-2</v>
      </c>
      <c r="E34" s="50">
        <v>2.4689859889998473E-4</v>
      </c>
      <c r="F34" s="50">
        <v>3.491673470952733E-5</v>
      </c>
      <c r="G34" s="50">
        <v>1.1008992827902438E-2</v>
      </c>
      <c r="H34" s="50">
        <v>1.1196143172097573E-2</v>
      </c>
      <c r="I34" s="32"/>
      <c r="J34" s="24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/>
      <c r="X34" s="35"/>
      <c r="Y34" s="35"/>
      <c r="Z34" s="35"/>
      <c r="AA34" s="35"/>
      <c r="AB34" s="35"/>
      <c r="AC34" s="32"/>
      <c r="AD34" s="32"/>
      <c r="AE34" s="32"/>
      <c r="AF34" s="32"/>
      <c r="AG34" s="32"/>
      <c r="AH34" s="33"/>
    </row>
    <row r="35" spans="1:34" x14ac:dyDescent="0.2">
      <c r="A35" s="31">
        <v>100000</v>
      </c>
      <c r="B35" s="31" t="s">
        <v>10</v>
      </c>
      <c r="C35" s="31">
        <v>50</v>
      </c>
      <c r="D35" s="50">
        <v>39.106785873999996</v>
      </c>
      <c r="E35" s="50">
        <v>0.23594141666971782</v>
      </c>
      <c r="F35" s="50">
        <v>3.3367155137983641E-2</v>
      </c>
      <c r="G35" s="50">
        <v>39.017363500733488</v>
      </c>
      <c r="H35" s="50">
        <v>39.196208247266505</v>
      </c>
      <c r="I35" s="32"/>
      <c r="J35" s="24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3"/>
      <c r="X35" s="35"/>
      <c r="Y35" s="35"/>
      <c r="Z35" s="35"/>
      <c r="AA35" s="35"/>
      <c r="AB35" s="35"/>
      <c r="AC35" s="32"/>
      <c r="AD35" s="32"/>
      <c r="AE35" s="32"/>
      <c r="AF35" s="32"/>
      <c r="AG35" s="32"/>
      <c r="AH35" s="33"/>
    </row>
    <row r="36" spans="1:34" x14ac:dyDescent="0.2">
      <c r="A36" s="31">
        <v>100000</v>
      </c>
      <c r="B36" s="31" t="s">
        <v>11</v>
      </c>
      <c r="C36" s="31">
        <v>50</v>
      </c>
      <c r="D36" s="50">
        <v>67.477600288000005</v>
      </c>
      <c r="E36" s="50">
        <v>0.94095047740441806</v>
      </c>
      <c r="F36" s="50">
        <v>0.13307049266667664</v>
      </c>
      <c r="G36" s="50">
        <v>67.12097775854582</v>
      </c>
      <c r="H36" s="50">
        <v>67.83422281745419</v>
      </c>
      <c r="I36" s="32"/>
      <c r="J36" s="24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3"/>
      <c r="X36" s="35"/>
      <c r="Y36" s="35"/>
      <c r="Z36" s="35"/>
      <c r="AA36" s="35"/>
      <c r="AB36" s="35"/>
      <c r="AC36" s="32"/>
      <c r="AD36" s="32"/>
      <c r="AE36" s="32"/>
      <c r="AF36" s="32"/>
      <c r="AG36" s="32"/>
      <c r="AH36" s="33"/>
    </row>
    <row r="37" spans="1:34" ht="13.5" thickBot="1" x14ac:dyDescent="0.25">
      <c r="A37" s="38"/>
      <c r="B37" s="39"/>
      <c r="C37" s="39"/>
      <c r="D37" s="40"/>
      <c r="E37" s="40"/>
      <c r="F37" s="39"/>
      <c r="G37" s="39"/>
      <c r="H37" s="39"/>
      <c r="I37" s="39"/>
      <c r="J37" s="2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41"/>
      <c r="X37" s="43"/>
      <c r="Y37" s="43"/>
      <c r="Z37" s="43"/>
      <c r="AA37" s="43"/>
      <c r="AB37" s="43"/>
      <c r="AC37" s="39"/>
      <c r="AD37" s="39"/>
      <c r="AE37" s="39"/>
      <c r="AF37" s="39"/>
      <c r="AG37" s="39"/>
      <c r="AH37" s="41"/>
    </row>
    <row r="38" spans="1:34" ht="13.5" thickBot="1" x14ac:dyDescent="0.25">
      <c r="X38" s="45"/>
      <c r="Y38" s="45"/>
      <c r="Z38" s="45"/>
      <c r="AA38" s="45"/>
      <c r="AB38" s="45"/>
    </row>
    <row r="39" spans="1:34" s="23" customFormat="1" ht="13.5" thickBot="1" x14ac:dyDescent="0.25">
      <c r="A39" s="72" t="s">
        <v>39</v>
      </c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3"/>
    </row>
    <row r="40" spans="1:34" s="23" customFormat="1" ht="13.5" thickBot="1" x14ac:dyDescent="0.25">
      <c r="A40" s="60" t="s">
        <v>16</v>
      </c>
      <c r="B40" s="60" t="s">
        <v>41</v>
      </c>
      <c r="C40" s="60" t="s">
        <v>3</v>
      </c>
      <c r="D40" s="60" t="s">
        <v>43</v>
      </c>
      <c r="E40" s="60" t="s">
        <v>44</v>
      </c>
      <c r="F40" s="61" t="s">
        <v>45</v>
      </c>
      <c r="G40" s="61" t="s">
        <v>46</v>
      </c>
      <c r="H40" s="61" t="s">
        <v>47</v>
      </c>
      <c r="I40" s="56"/>
      <c r="J40" s="56" t="s">
        <v>12</v>
      </c>
      <c r="K40" s="56" t="s">
        <v>49</v>
      </c>
      <c r="L40" s="56" t="s">
        <v>50</v>
      </c>
      <c r="M40" s="56" t="s">
        <v>51</v>
      </c>
      <c r="N40" s="57" t="str">
        <f>K$2</f>
        <v>10²</v>
      </c>
      <c r="O40" s="57" t="str">
        <f t="shared" ref="O40:P40" si="28">L$2</f>
        <v>10³</v>
      </c>
      <c r="P40" s="57" t="str">
        <f t="shared" si="28"/>
        <v>10⁴</v>
      </c>
      <c r="Q40" s="58" t="str">
        <f>K$2</f>
        <v>10²</v>
      </c>
      <c r="R40" s="58" t="str">
        <f t="shared" ref="R40:S40" si="29">L$2</f>
        <v>10³</v>
      </c>
      <c r="S40" s="58" t="str">
        <f t="shared" si="29"/>
        <v>10⁴</v>
      </c>
      <c r="T40" s="59" t="str">
        <f>K$2</f>
        <v>10²</v>
      </c>
      <c r="U40" s="59" t="str">
        <f>L$2</f>
        <v>10³</v>
      </c>
      <c r="V40" s="59" t="str">
        <f>M$2</f>
        <v>10⁴</v>
      </c>
      <c r="W40" s="22"/>
      <c r="X40" s="30"/>
      <c r="Y40" s="30"/>
      <c r="Z40" s="30"/>
      <c r="AA40" s="30"/>
      <c r="AB40" s="30"/>
      <c r="AC40" s="28"/>
      <c r="AD40" s="28"/>
      <c r="AE40" s="28"/>
      <c r="AF40" s="28"/>
      <c r="AG40" s="28"/>
      <c r="AH40" s="29"/>
    </row>
    <row r="41" spans="1:34" x14ac:dyDescent="0.2">
      <c r="A41" s="62">
        <v>1000</v>
      </c>
      <c r="B41" s="62" t="s">
        <v>8</v>
      </c>
      <c r="C41" s="63">
        <v>1</v>
      </c>
      <c r="D41" s="64">
        <v>3504.9152199999999</v>
      </c>
      <c r="E41" s="64">
        <v>0</v>
      </c>
      <c r="F41" s="64">
        <v>0</v>
      </c>
      <c r="G41" s="64">
        <v>3504.9152199999999</v>
      </c>
      <c r="H41" s="64">
        <v>3504.9152199999999</v>
      </c>
      <c r="I41" s="32"/>
      <c r="J41" s="24"/>
      <c r="K41" s="32"/>
      <c r="L41" s="32"/>
      <c r="M41" s="32"/>
      <c r="N41" s="32"/>
      <c r="O41" s="32"/>
      <c r="P41" s="32"/>
      <c r="Q41" s="32"/>
      <c r="R41" s="32"/>
      <c r="S41" s="32"/>
      <c r="T41" s="51">
        <f>$D$41</f>
        <v>3504.9152199999999</v>
      </c>
      <c r="U41" s="51">
        <f>$D$46</f>
        <v>55314.036419999997</v>
      </c>
      <c r="V41" s="51">
        <f>$D$51</f>
        <v>574009.13060999999</v>
      </c>
      <c r="W41" s="33"/>
      <c r="X41" s="35"/>
      <c r="Y41" s="35"/>
      <c r="Z41" s="35"/>
      <c r="AA41" s="35"/>
      <c r="AB41" s="35"/>
      <c r="AC41" s="32"/>
      <c r="AD41" s="32"/>
      <c r="AE41" s="32"/>
      <c r="AF41" s="32"/>
      <c r="AG41" s="32"/>
      <c r="AH41" s="33"/>
    </row>
    <row r="42" spans="1:34" x14ac:dyDescent="0.2">
      <c r="A42" s="62">
        <v>1000</v>
      </c>
      <c r="B42" s="62" t="s">
        <v>5</v>
      </c>
      <c r="C42" s="63">
        <v>1</v>
      </c>
      <c r="D42" s="64">
        <v>3559.3359300000002</v>
      </c>
      <c r="E42" s="64">
        <v>0</v>
      </c>
      <c r="F42" s="64">
        <v>0</v>
      </c>
      <c r="G42" s="64">
        <v>3559.3359300000002</v>
      </c>
      <c r="H42" s="64">
        <v>3559.3359300000002</v>
      </c>
      <c r="I42" s="32"/>
      <c r="J42" s="24" t="s">
        <v>0</v>
      </c>
      <c r="K42" s="51">
        <f>$D42</f>
        <v>3559.3359300000002</v>
      </c>
      <c r="L42" s="51">
        <f>$D47</f>
        <v>55440.238019999997</v>
      </c>
      <c r="M42" s="51">
        <f>$D52</f>
        <v>576696.82782999997</v>
      </c>
      <c r="N42" s="55">
        <f>$D42-$G42</f>
        <v>0</v>
      </c>
      <c r="O42" s="55">
        <f>$D47-$G47</f>
        <v>0</v>
      </c>
      <c r="P42" s="55">
        <f>$D52-$G52</f>
        <v>0</v>
      </c>
      <c r="Q42" s="55">
        <f>-$D42+$H42</f>
        <v>0</v>
      </c>
      <c r="R42" s="55">
        <f>-$D47+$H47</f>
        <v>0</v>
      </c>
      <c r="S42" s="55">
        <f>-$D52+$H52</f>
        <v>0</v>
      </c>
      <c r="T42" s="51">
        <f t="shared" ref="T42:T46" si="30">$D$41</f>
        <v>3504.9152199999999</v>
      </c>
      <c r="U42" s="51">
        <f t="shared" ref="U42:U46" si="31">$D$46</f>
        <v>55314.036419999997</v>
      </c>
      <c r="V42" s="51">
        <f t="shared" ref="V42:V46" si="32">$D$51</f>
        <v>574009.13060999999</v>
      </c>
      <c r="W42" s="33"/>
      <c r="X42" s="35"/>
      <c r="Y42" s="35"/>
      <c r="Z42" s="35"/>
      <c r="AA42" s="35"/>
      <c r="AB42" s="35"/>
      <c r="AC42" s="32"/>
      <c r="AD42" s="32"/>
      <c r="AE42" s="32"/>
      <c r="AF42" s="32"/>
      <c r="AG42" s="32"/>
      <c r="AH42" s="33"/>
    </row>
    <row r="43" spans="1:34" x14ac:dyDescent="0.2">
      <c r="A43" s="62">
        <v>1000</v>
      </c>
      <c r="B43" s="62" t="s">
        <v>9</v>
      </c>
      <c r="C43" s="63">
        <v>50</v>
      </c>
      <c r="D43" s="64">
        <v>3816.9707883999999</v>
      </c>
      <c r="E43" s="64">
        <v>36.046206928955542</v>
      </c>
      <c r="F43" s="64">
        <v>5.0977034711035953</v>
      </c>
      <c r="G43" s="64">
        <v>3803.3091879216277</v>
      </c>
      <c r="H43" s="64">
        <v>3830.6323888783722</v>
      </c>
      <c r="I43" s="32"/>
      <c r="J43" s="24" t="s">
        <v>14</v>
      </c>
      <c r="K43" s="51">
        <f t="shared" ref="K43:K45" si="33">$D43</f>
        <v>3816.9707883999999</v>
      </c>
      <c r="L43" s="51">
        <f t="shared" ref="L43:L45" si="34">$D48</f>
        <v>55353.292138199991</v>
      </c>
      <c r="M43" s="51">
        <f t="shared" ref="M43:M45" si="35">$D53</f>
        <v>575813.63731239992</v>
      </c>
      <c r="N43" s="55">
        <f t="shared" ref="N43:N45" si="36">$D43-$G43</f>
        <v>13.661600478372293</v>
      </c>
      <c r="O43" s="55">
        <f t="shared" ref="O43:O45" si="37">$D48-$G48</f>
        <v>14.502122619582224</v>
      </c>
      <c r="P43" s="55">
        <f t="shared" ref="P43:P45" si="38">$D53-$G53</f>
        <v>48.602366542327218</v>
      </c>
      <c r="Q43" s="55">
        <f t="shared" ref="Q43:Q45" si="39">-$D43+$H43</f>
        <v>13.661600478372293</v>
      </c>
      <c r="R43" s="55">
        <f t="shared" ref="R43:R45" si="40">-$D48+$H48</f>
        <v>14.502122619582224</v>
      </c>
      <c r="S43" s="55">
        <f t="shared" ref="S43:S45" si="41">-$D53+$H53</f>
        <v>48.602366542327218</v>
      </c>
      <c r="T43" s="51">
        <f t="shared" si="30"/>
        <v>3504.9152199999999</v>
      </c>
      <c r="U43" s="51">
        <f t="shared" si="31"/>
        <v>55314.036419999997</v>
      </c>
      <c r="V43" s="51">
        <f t="shared" si="32"/>
        <v>574009.13060999999</v>
      </c>
      <c r="W43" s="33"/>
      <c r="X43" s="35"/>
      <c r="Y43" s="35"/>
      <c r="Z43" s="35"/>
      <c r="AA43" s="35"/>
      <c r="AB43" s="35"/>
      <c r="AC43" s="32"/>
      <c r="AD43" s="32"/>
      <c r="AE43" s="32"/>
      <c r="AF43" s="32"/>
      <c r="AG43" s="32"/>
      <c r="AH43" s="33"/>
    </row>
    <row r="44" spans="1:34" x14ac:dyDescent="0.2">
      <c r="A44" s="62">
        <v>1000</v>
      </c>
      <c r="B44" s="62" t="s">
        <v>10</v>
      </c>
      <c r="C44" s="63">
        <v>100</v>
      </c>
      <c r="D44" s="64">
        <v>3470.8368077999994</v>
      </c>
      <c r="E44" s="64">
        <v>34.466938536855977</v>
      </c>
      <c r="F44" s="64">
        <v>3.4466938536855976</v>
      </c>
      <c r="G44" s="64">
        <v>3461.7843922531033</v>
      </c>
      <c r="H44" s="64">
        <v>3479.8892233468955</v>
      </c>
      <c r="I44" s="32"/>
      <c r="J44" s="24" t="s">
        <v>1</v>
      </c>
      <c r="K44" s="51">
        <f t="shared" si="33"/>
        <v>3470.8368077999994</v>
      </c>
      <c r="L44" s="51">
        <f t="shared" si="34"/>
        <v>53589.225162399998</v>
      </c>
      <c r="M44" s="51">
        <f t="shared" si="35"/>
        <v>576473.6174797999</v>
      </c>
      <c r="N44" s="55">
        <f t="shared" si="36"/>
        <v>9.0524155468960998</v>
      </c>
      <c r="O44" s="55">
        <f t="shared" si="37"/>
        <v>466.4743544657249</v>
      </c>
      <c r="P44" s="55">
        <f t="shared" si="38"/>
        <v>28.95539769961033</v>
      </c>
      <c r="Q44" s="55">
        <f t="shared" si="39"/>
        <v>9.0524155468960998</v>
      </c>
      <c r="R44" s="55">
        <f t="shared" si="40"/>
        <v>466.4743544657249</v>
      </c>
      <c r="S44" s="55">
        <f t="shared" si="41"/>
        <v>28.95539769961033</v>
      </c>
      <c r="T44" s="51">
        <f t="shared" si="30"/>
        <v>3504.9152199999999</v>
      </c>
      <c r="U44" s="51">
        <f t="shared" si="31"/>
        <v>55314.036419999997</v>
      </c>
      <c r="V44" s="51">
        <f t="shared" si="32"/>
        <v>574009.13060999999</v>
      </c>
      <c r="W44" s="47"/>
      <c r="X44" s="35"/>
      <c r="Y44" s="35"/>
      <c r="Z44" s="35"/>
      <c r="AA44" s="35"/>
      <c r="AB44" s="35"/>
      <c r="AC44" s="32"/>
      <c r="AD44" s="32"/>
      <c r="AE44" s="32"/>
      <c r="AF44" s="32"/>
      <c r="AG44" s="32"/>
      <c r="AH44" s="33"/>
    </row>
    <row r="45" spans="1:34" x14ac:dyDescent="0.2">
      <c r="A45" s="62">
        <v>1000</v>
      </c>
      <c r="B45" s="62" t="s">
        <v>11</v>
      </c>
      <c r="C45" s="63">
        <v>100</v>
      </c>
      <c r="D45" s="64">
        <v>3465.2804402999991</v>
      </c>
      <c r="E45" s="64">
        <v>35.544298574563825</v>
      </c>
      <c r="F45" s="64">
        <v>3.5544298574563826</v>
      </c>
      <c r="G45" s="64">
        <v>3455.9450663248535</v>
      </c>
      <c r="H45" s="64">
        <v>3474.6158142751447</v>
      </c>
      <c r="I45" s="32"/>
      <c r="J45" s="24" t="s">
        <v>15</v>
      </c>
      <c r="K45" s="51">
        <f t="shared" si="33"/>
        <v>3465.2804402999991</v>
      </c>
      <c r="L45" s="51">
        <f t="shared" si="34"/>
        <v>53268.453663</v>
      </c>
      <c r="M45" s="51">
        <f t="shared" si="35"/>
        <v>575179.31335640012</v>
      </c>
      <c r="N45" s="55">
        <f t="shared" si="36"/>
        <v>9.3353739751455578</v>
      </c>
      <c r="O45" s="55">
        <f t="shared" si="37"/>
        <v>547.81264010963787</v>
      </c>
      <c r="P45" s="55">
        <f t="shared" si="38"/>
        <v>34.744359118980356</v>
      </c>
      <c r="Q45" s="55">
        <f t="shared" si="39"/>
        <v>9.3353739751455578</v>
      </c>
      <c r="R45" s="55">
        <f t="shared" si="40"/>
        <v>547.81264010963787</v>
      </c>
      <c r="S45" s="55">
        <f t="shared" si="41"/>
        <v>34.744359118980356</v>
      </c>
      <c r="T45" s="51">
        <f t="shared" si="30"/>
        <v>3504.9152199999999</v>
      </c>
      <c r="U45" s="51">
        <f t="shared" si="31"/>
        <v>55314.036419999997</v>
      </c>
      <c r="V45" s="51">
        <f t="shared" si="32"/>
        <v>574009.13060999999</v>
      </c>
      <c r="W45" s="47"/>
      <c r="X45" s="35"/>
      <c r="Y45" s="35"/>
      <c r="Z45" s="35"/>
      <c r="AA45" s="35"/>
      <c r="AB45" s="35"/>
      <c r="AC45" s="32"/>
      <c r="AD45" s="32"/>
      <c r="AE45" s="32"/>
      <c r="AF45" s="32"/>
      <c r="AG45" s="32"/>
      <c r="AH45" s="33"/>
    </row>
    <row r="46" spans="1:34" x14ac:dyDescent="0.2">
      <c r="A46" s="62">
        <v>10000</v>
      </c>
      <c r="B46" s="62" t="s">
        <v>8</v>
      </c>
      <c r="C46" s="63">
        <v>1</v>
      </c>
      <c r="D46" s="64">
        <v>55314.036419999997</v>
      </c>
      <c r="E46" s="64">
        <v>0</v>
      </c>
      <c r="F46" s="64">
        <v>0</v>
      </c>
      <c r="G46" s="64">
        <v>55314.036419999997</v>
      </c>
      <c r="H46" s="64">
        <v>55314.036419999997</v>
      </c>
      <c r="I46" s="32"/>
      <c r="J46" s="24"/>
      <c r="K46" s="32"/>
      <c r="L46" s="32"/>
      <c r="M46" s="32"/>
      <c r="N46" s="32"/>
      <c r="O46" s="32"/>
      <c r="P46" s="32"/>
      <c r="T46" s="51">
        <f t="shared" si="30"/>
        <v>3504.9152199999999</v>
      </c>
      <c r="U46" s="51">
        <f t="shared" si="31"/>
        <v>55314.036419999997</v>
      </c>
      <c r="V46" s="51">
        <f t="shared" si="32"/>
        <v>574009.13060999999</v>
      </c>
      <c r="W46" s="33"/>
      <c r="X46" s="35"/>
      <c r="Y46" s="35"/>
      <c r="Z46" s="35"/>
      <c r="AA46" s="35"/>
      <c r="AB46" s="35"/>
      <c r="AC46" s="32"/>
      <c r="AD46" s="32"/>
      <c r="AE46" s="32"/>
      <c r="AF46" s="32"/>
      <c r="AG46" s="32"/>
      <c r="AH46" s="33"/>
    </row>
    <row r="47" spans="1:34" x14ac:dyDescent="0.2">
      <c r="A47" s="62">
        <v>10000</v>
      </c>
      <c r="B47" s="62" t="s">
        <v>5</v>
      </c>
      <c r="C47" s="63">
        <v>1</v>
      </c>
      <c r="D47" s="64">
        <v>55440.238019999997</v>
      </c>
      <c r="E47" s="64">
        <v>0</v>
      </c>
      <c r="F47" s="64">
        <v>0</v>
      </c>
      <c r="G47" s="64">
        <v>55440.238019999997</v>
      </c>
      <c r="H47" s="64">
        <v>55440.238019999997</v>
      </c>
      <c r="I47" s="32"/>
      <c r="J47" s="24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3"/>
      <c r="X47" s="35"/>
      <c r="Y47" s="35"/>
      <c r="Z47" s="35"/>
      <c r="AA47" s="35"/>
      <c r="AB47" s="35"/>
      <c r="AC47" s="32"/>
      <c r="AD47" s="32"/>
      <c r="AE47" s="32"/>
      <c r="AF47" s="32"/>
      <c r="AG47" s="32"/>
      <c r="AH47" s="33"/>
    </row>
    <row r="48" spans="1:34" x14ac:dyDescent="0.2">
      <c r="A48" s="62">
        <v>10000</v>
      </c>
      <c r="B48" s="62" t="s">
        <v>9</v>
      </c>
      <c r="C48" s="63">
        <v>50</v>
      </c>
      <c r="D48" s="64">
        <v>55353.292138199991</v>
      </c>
      <c r="E48" s="64">
        <v>38.26392915545884</v>
      </c>
      <c r="F48" s="64">
        <v>5.4113367561333181</v>
      </c>
      <c r="G48" s="64">
        <v>55338.790015580409</v>
      </c>
      <c r="H48" s="64">
        <v>55367.794260819574</v>
      </c>
      <c r="I48" s="32"/>
      <c r="J48" s="24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3"/>
      <c r="X48" s="35"/>
      <c r="Y48" s="35"/>
      <c r="Z48" s="35"/>
      <c r="AA48" s="35"/>
      <c r="AB48" s="35"/>
      <c r="AC48" s="32"/>
      <c r="AD48" s="32"/>
      <c r="AE48" s="32"/>
      <c r="AF48" s="32"/>
      <c r="AG48" s="32"/>
      <c r="AH48" s="33"/>
    </row>
    <row r="49" spans="1:34" x14ac:dyDescent="0.2">
      <c r="A49" s="62">
        <v>10000</v>
      </c>
      <c r="B49" s="62" t="s">
        <v>10</v>
      </c>
      <c r="C49" s="63">
        <v>100</v>
      </c>
      <c r="D49" s="64">
        <v>53589.225162399998</v>
      </c>
      <c r="E49" s="64">
        <v>1776.0942171841095</v>
      </c>
      <c r="F49" s="64">
        <v>177.60942171841094</v>
      </c>
      <c r="G49" s="64">
        <v>53122.750807934273</v>
      </c>
      <c r="H49" s="64">
        <v>54055.699516865723</v>
      </c>
      <c r="I49" s="32"/>
      <c r="J49" s="24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3"/>
      <c r="X49" s="35"/>
      <c r="Y49" s="35"/>
      <c r="Z49" s="35"/>
      <c r="AA49" s="35"/>
      <c r="AB49" s="35"/>
      <c r="AC49" s="32"/>
      <c r="AD49" s="32"/>
      <c r="AE49" s="32"/>
      <c r="AF49" s="32"/>
      <c r="AG49" s="32"/>
      <c r="AH49" s="33"/>
    </row>
    <row r="50" spans="1:34" x14ac:dyDescent="0.2">
      <c r="A50" s="62">
        <v>10000</v>
      </c>
      <c r="B50" s="62" t="s">
        <v>11</v>
      </c>
      <c r="C50" s="63">
        <v>100</v>
      </c>
      <c r="D50" s="64">
        <v>53268.453663</v>
      </c>
      <c r="E50" s="64">
        <v>2085.7885388221812</v>
      </c>
      <c r="F50" s="64">
        <v>208.57885388221811</v>
      </c>
      <c r="G50" s="64">
        <v>52720.641022890362</v>
      </c>
      <c r="H50" s="64">
        <v>53816.266303109638</v>
      </c>
      <c r="I50" s="32"/>
      <c r="J50" s="24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3"/>
      <c r="X50" s="35"/>
      <c r="Y50" s="35"/>
      <c r="Z50" s="35"/>
      <c r="AA50" s="35"/>
      <c r="AB50" s="35"/>
      <c r="AC50" s="32"/>
      <c r="AD50" s="32"/>
      <c r="AE50" s="32"/>
      <c r="AF50" s="32"/>
      <c r="AG50" s="32"/>
      <c r="AH50" s="33"/>
    </row>
    <row r="51" spans="1:34" x14ac:dyDescent="0.2">
      <c r="A51" s="62">
        <v>100000</v>
      </c>
      <c r="B51" s="62" t="s">
        <v>8</v>
      </c>
      <c r="C51" s="63">
        <v>1</v>
      </c>
      <c r="D51" s="64">
        <v>574009.13060999999</v>
      </c>
      <c r="E51" s="64">
        <v>0</v>
      </c>
      <c r="F51" s="64">
        <v>0</v>
      </c>
      <c r="G51" s="64">
        <v>574009.13060999999</v>
      </c>
      <c r="H51" s="64">
        <v>574009.13060999999</v>
      </c>
      <c r="I51" s="32"/>
      <c r="J51" s="24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3"/>
      <c r="X51" s="35"/>
      <c r="Y51" s="35"/>
      <c r="Z51" s="35"/>
      <c r="AA51" s="35"/>
      <c r="AB51" s="35"/>
      <c r="AC51" s="32"/>
      <c r="AD51" s="32"/>
      <c r="AE51" s="32"/>
      <c r="AF51" s="32"/>
      <c r="AG51" s="32"/>
      <c r="AH51" s="33"/>
    </row>
    <row r="52" spans="1:34" x14ac:dyDescent="0.2">
      <c r="A52" s="62">
        <v>100000</v>
      </c>
      <c r="B52" s="62" t="s">
        <v>5</v>
      </c>
      <c r="C52" s="63">
        <v>1</v>
      </c>
      <c r="D52" s="64">
        <v>576696.82782999997</v>
      </c>
      <c r="E52" s="64">
        <v>0</v>
      </c>
      <c r="F52" s="64">
        <v>0</v>
      </c>
      <c r="G52" s="64">
        <v>576696.82782999997</v>
      </c>
      <c r="H52" s="64">
        <v>576696.82782999997</v>
      </c>
      <c r="I52" s="32"/>
      <c r="J52" s="24"/>
      <c r="K52" s="32"/>
      <c r="L52" s="32"/>
      <c r="M52" s="32"/>
      <c r="N52" s="32"/>
      <c r="O52" s="37"/>
      <c r="P52" s="32"/>
      <c r="Q52" s="32"/>
      <c r="R52" s="32"/>
      <c r="S52" s="32"/>
      <c r="T52" s="32"/>
      <c r="U52" s="32"/>
      <c r="V52" s="32"/>
      <c r="W52" s="33"/>
      <c r="X52" s="35"/>
      <c r="Y52" s="35"/>
      <c r="Z52" s="35"/>
      <c r="AA52" s="35"/>
      <c r="AB52" s="35"/>
      <c r="AC52" s="32"/>
      <c r="AD52" s="32"/>
      <c r="AE52" s="32"/>
      <c r="AF52" s="32"/>
      <c r="AG52" s="32"/>
      <c r="AH52" s="33"/>
    </row>
    <row r="53" spans="1:34" x14ac:dyDescent="0.2">
      <c r="A53" s="62">
        <v>100000</v>
      </c>
      <c r="B53" s="62" t="s">
        <v>9</v>
      </c>
      <c r="C53" s="63">
        <v>50</v>
      </c>
      <c r="D53" s="64">
        <v>575813.63731239992</v>
      </c>
      <c r="E53" s="64">
        <v>128.23760762096052</v>
      </c>
      <c r="F53" s="64">
        <v>18.135536390384171</v>
      </c>
      <c r="G53" s="64">
        <v>575765.03494585759</v>
      </c>
      <c r="H53" s="64">
        <v>575862.23967894225</v>
      </c>
      <c r="I53" s="32"/>
      <c r="J53" s="24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3"/>
      <c r="X53" s="35"/>
      <c r="Y53" s="35"/>
      <c r="Z53" s="35"/>
      <c r="AA53" s="35"/>
      <c r="AB53" s="35"/>
      <c r="AC53" s="32"/>
      <c r="AD53" s="32"/>
      <c r="AE53" s="32"/>
      <c r="AF53" s="32"/>
      <c r="AG53" s="32"/>
      <c r="AH53" s="33"/>
    </row>
    <row r="54" spans="1:34" x14ac:dyDescent="0.2">
      <c r="A54" s="62">
        <v>100000</v>
      </c>
      <c r="B54" s="62" t="s">
        <v>10</v>
      </c>
      <c r="C54" s="63">
        <v>50</v>
      </c>
      <c r="D54" s="64">
        <v>576473.6174797999</v>
      </c>
      <c r="E54" s="64">
        <v>76.398973812960506</v>
      </c>
      <c r="F54" s="64">
        <v>10.804446491767568</v>
      </c>
      <c r="G54" s="64">
        <v>576444.66208210029</v>
      </c>
      <c r="H54" s="64">
        <v>576502.57287749951</v>
      </c>
      <c r="I54" s="32"/>
      <c r="J54" s="24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3"/>
      <c r="X54" s="35"/>
      <c r="Y54" s="35"/>
      <c r="Z54" s="35"/>
      <c r="AA54" s="35"/>
      <c r="AB54" s="35"/>
      <c r="AC54" s="32"/>
      <c r="AD54" s="32"/>
      <c r="AE54" s="32"/>
      <c r="AF54" s="32"/>
      <c r="AG54" s="32"/>
      <c r="AH54" s="33"/>
    </row>
    <row r="55" spans="1:34" x14ac:dyDescent="0.2">
      <c r="A55" s="62">
        <v>100000</v>
      </c>
      <c r="B55" s="62" t="s">
        <v>11</v>
      </c>
      <c r="C55" s="63">
        <v>50</v>
      </c>
      <c r="D55" s="64">
        <v>575179.31335640012</v>
      </c>
      <c r="E55" s="64">
        <v>91.673179902935999</v>
      </c>
      <c r="F55" s="64">
        <v>12.964545432460074</v>
      </c>
      <c r="G55" s="64">
        <v>575144.56899728114</v>
      </c>
      <c r="H55" s="64">
        <v>575214.0577155191</v>
      </c>
      <c r="I55" s="32"/>
      <c r="J55" s="24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3"/>
      <c r="X55" s="35"/>
      <c r="Y55" s="35"/>
      <c r="Z55" s="35"/>
      <c r="AA55" s="35"/>
      <c r="AB55" s="35"/>
      <c r="AC55" s="32"/>
      <c r="AD55" s="32"/>
      <c r="AE55" s="32"/>
      <c r="AF55" s="32"/>
      <c r="AG55" s="32"/>
      <c r="AH55" s="33"/>
    </row>
    <row r="56" spans="1:34" ht="13.5" thickBot="1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28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41"/>
      <c r="X56" s="43"/>
      <c r="Y56" s="43"/>
      <c r="Z56" s="43"/>
      <c r="AA56" s="43"/>
      <c r="AB56" s="43"/>
      <c r="AC56" s="39"/>
      <c r="AD56" s="39"/>
      <c r="AE56" s="39"/>
      <c r="AF56" s="39"/>
      <c r="AG56" s="39"/>
      <c r="AH56" s="41"/>
    </row>
    <row r="57" spans="1:34" ht="13.5" thickBot="1" x14ac:dyDescent="0.25">
      <c r="A57" s="32"/>
      <c r="B57" s="32"/>
      <c r="C57" s="32"/>
      <c r="D57" s="36"/>
      <c r="E57" s="36"/>
      <c r="F57" s="32"/>
      <c r="G57" s="32"/>
      <c r="H57" s="32"/>
      <c r="I57" s="32"/>
      <c r="J57" s="24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5"/>
      <c r="Y57" s="35"/>
      <c r="Z57" s="35"/>
      <c r="AA57" s="35"/>
      <c r="AB57" s="35"/>
      <c r="AC57" s="32"/>
      <c r="AD57" s="32"/>
      <c r="AE57" s="32"/>
      <c r="AF57" s="32"/>
      <c r="AG57" s="32"/>
      <c r="AH57" s="32"/>
    </row>
    <row r="58" spans="1:34" s="23" customFormat="1" ht="13.5" thickBot="1" x14ac:dyDescent="0.25">
      <c r="A58" s="72" t="s">
        <v>40</v>
      </c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3"/>
    </row>
    <row r="59" spans="1:34" s="23" customFormat="1" ht="13.5" thickBot="1" x14ac:dyDescent="0.25">
      <c r="A59" s="18" t="s">
        <v>16</v>
      </c>
      <c r="B59" s="19" t="s">
        <v>41</v>
      </c>
      <c r="C59" s="19" t="s">
        <v>3</v>
      </c>
      <c r="D59" s="19" t="s">
        <v>43</v>
      </c>
      <c r="E59" s="19" t="s">
        <v>44</v>
      </c>
      <c r="F59" s="19" t="s">
        <v>45</v>
      </c>
      <c r="G59" s="19" t="s">
        <v>46</v>
      </c>
      <c r="H59" s="19" t="s">
        <v>47</v>
      </c>
      <c r="I59" s="56"/>
      <c r="J59" s="56" t="s">
        <v>12</v>
      </c>
      <c r="K59" s="56" t="s">
        <v>49</v>
      </c>
      <c r="L59" s="56" t="s">
        <v>50</v>
      </c>
      <c r="M59" s="56" t="s">
        <v>51</v>
      </c>
      <c r="N59" s="57" t="str">
        <f>K$2</f>
        <v>10²</v>
      </c>
      <c r="O59" s="57" t="str">
        <f t="shared" ref="O59:P59" si="42">L$2</f>
        <v>10³</v>
      </c>
      <c r="P59" s="57" t="str">
        <f t="shared" si="42"/>
        <v>10⁴</v>
      </c>
      <c r="Q59" s="58" t="str">
        <f>K$2</f>
        <v>10²</v>
      </c>
      <c r="R59" s="58" t="str">
        <f t="shared" ref="R59:S59" si="43">L$2</f>
        <v>10³</v>
      </c>
      <c r="S59" s="58" t="str">
        <f t="shared" si="43"/>
        <v>10⁴</v>
      </c>
      <c r="T59" s="59" t="str">
        <f>K$2</f>
        <v>10²</v>
      </c>
      <c r="U59" s="59" t="str">
        <f>L$2</f>
        <v>10³</v>
      </c>
      <c r="V59" s="59" t="str">
        <f>M$2</f>
        <v>10⁴</v>
      </c>
      <c r="W59" s="22"/>
      <c r="X59" s="30"/>
      <c r="Y59" s="30"/>
      <c r="Z59" s="30"/>
      <c r="AA59" s="30"/>
      <c r="AB59" s="30"/>
      <c r="AC59" s="28"/>
      <c r="AD59" s="28"/>
      <c r="AE59" s="28"/>
      <c r="AF59" s="28"/>
      <c r="AG59" s="28"/>
      <c r="AH59" s="29"/>
    </row>
    <row r="60" spans="1:34" x14ac:dyDescent="0.2">
      <c r="A60" s="46">
        <v>1000</v>
      </c>
      <c r="B60" s="32" t="s">
        <v>8</v>
      </c>
      <c r="C60" s="32">
        <v>1</v>
      </c>
      <c r="D60" s="51">
        <v>168.152759</v>
      </c>
      <c r="E60" s="51">
        <v>0</v>
      </c>
      <c r="F60" s="51">
        <v>0</v>
      </c>
      <c r="G60" s="51">
        <v>168.152759</v>
      </c>
      <c r="H60" s="51">
        <v>168.152759</v>
      </c>
      <c r="I60" s="32"/>
      <c r="J60" s="24"/>
      <c r="K60" s="32"/>
      <c r="L60" s="32"/>
      <c r="M60" s="32"/>
      <c r="N60" s="32"/>
      <c r="O60" s="32"/>
      <c r="P60" s="32"/>
      <c r="Q60" s="32"/>
      <c r="R60" s="32"/>
      <c r="S60" s="32"/>
      <c r="T60" s="51">
        <f>$D$60</f>
        <v>168.152759</v>
      </c>
      <c r="U60" s="51">
        <f>$D$65</f>
        <v>152.76427699999999</v>
      </c>
      <c r="V60" s="51">
        <f>$D$70</f>
        <v>112.676382</v>
      </c>
      <c r="W60" s="33"/>
      <c r="X60" s="35"/>
      <c r="Y60" s="35"/>
      <c r="Z60" s="35"/>
      <c r="AA60" s="35"/>
      <c r="AB60" s="35"/>
      <c r="AC60" s="32"/>
      <c r="AD60" s="32"/>
      <c r="AE60" s="32"/>
      <c r="AF60" s="32"/>
      <c r="AG60" s="32"/>
      <c r="AH60" s="33"/>
    </row>
    <row r="61" spans="1:34" x14ac:dyDescent="0.2">
      <c r="A61" s="46">
        <v>1000</v>
      </c>
      <c r="B61" s="32" t="s">
        <v>5</v>
      </c>
      <c r="C61" s="32">
        <v>1</v>
      </c>
      <c r="D61" s="51">
        <v>214.81287499999999</v>
      </c>
      <c r="E61" s="51">
        <v>0</v>
      </c>
      <c r="F61" s="51">
        <v>0</v>
      </c>
      <c r="G61" s="51">
        <v>214.81287499999999</v>
      </c>
      <c r="H61" s="51">
        <v>214.81287499999999</v>
      </c>
      <c r="I61" s="32"/>
      <c r="J61" s="24" t="s">
        <v>0</v>
      </c>
      <c r="K61" s="51">
        <f>$D61</f>
        <v>214.81287499999999</v>
      </c>
      <c r="L61" s="51">
        <f>$D66</f>
        <v>203.406711</v>
      </c>
      <c r="M61" s="51">
        <f>$D71</f>
        <v>203.10889499999999</v>
      </c>
      <c r="N61" s="55">
        <f>$D61-$G61</f>
        <v>0</v>
      </c>
      <c r="O61" s="55">
        <f>$D66-$G66</f>
        <v>0</v>
      </c>
      <c r="P61" s="55">
        <f>$D71-$G71</f>
        <v>0</v>
      </c>
      <c r="Q61" s="55">
        <f>-$D61+$H61</f>
        <v>0</v>
      </c>
      <c r="R61" s="55">
        <f>-$D66+$H66</f>
        <v>0</v>
      </c>
      <c r="S61" s="55">
        <f>-$D71+$H71</f>
        <v>0</v>
      </c>
      <c r="T61" s="51">
        <f t="shared" ref="T61:T65" si="44">$D$60</f>
        <v>168.152759</v>
      </c>
      <c r="U61" s="51">
        <f t="shared" ref="U61:U65" si="45">$D$65</f>
        <v>152.76427699999999</v>
      </c>
      <c r="V61" s="51">
        <f t="shared" ref="V61:V65" si="46">$D$70</f>
        <v>112.676382</v>
      </c>
      <c r="W61" s="33"/>
      <c r="X61" s="35"/>
      <c r="Y61" s="35"/>
      <c r="Z61" s="35"/>
      <c r="AA61" s="35"/>
      <c r="AB61" s="35"/>
      <c r="AC61" s="32"/>
      <c r="AD61" s="32"/>
      <c r="AE61" s="32"/>
      <c r="AF61" s="32"/>
      <c r="AG61" s="32"/>
      <c r="AH61" s="33"/>
    </row>
    <row r="62" spans="1:34" x14ac:dyDescent="0.2">
      <c r="A62" s="46">
        <v>1000</v>
      </c>
      <c r="B62" s="32" t="s">
        <v>9</v>
      </c>
      <c r="C62" s="32">
        <v>50</v>
      </c>
      <c r="D62" s="51">
        <v>213.66835075999995</v>
      </c>
      <c r="E62" s="51">
        <v>4.5862346827890272</v>
      </c>
      <c r="F62" s="51">
        <v>0.64859152886261118</v>
      </c>
      <c r="G62" s="51">
        <v>211.93015661214389</v>
      </c>
      <c r="H62" s="51">
        <v>215.40654490785602</v>
      </c>
      <c r="I62" s="32"/>
      <c r="J62" s="24" t="s">
        <v>14</v>
      </c>
      <c r="K62" s="51">
        <f t="shared" ref="K62:K64" si="47">$D62</f>
        <v>213.66835075999995</v>
      </c>
      <c r="L62" s="51">
        <f t="shared" ref="L62:L64" si="48">$D67</f>
        <v>194.55707678000002</v>
      </c>
      <c r="M62" s="51">
        <f t="shared" ref="M62:M64" si="49">$D72</f>
        <v>172.57158922000002</v>
      </c>
      <c r="N62" s="55">
        <f t="shared" ref="N62:N64" si="50">$D62-$G62</f>
        <v>1.7381941478560634</v>
      </c>
      <c r="O62" s="55">
        <f t="shared" ref="O62:O64" si="51">$D67-$G67</f>
        <v>1.4089423104390733</v>
      </c>
      <c r="P62" s="55">
        <f t="shared" ref="P62:P64" si="52">$D72-$G72</f>
        <v>0.91434252956941009</v>
      </c>
      <c r="Q62" s="55">
        <f t="shared" ref="Q62:Q64" si="53">-$D62+$H62</f>
        <v>1.7381941478560634</v>
      </c>
      <c r="R62" s="55">
        <f t="shared" ref="R62:R64" si="54">-$D67+$H67</f>
        <v>1.4089423104390733</v>
      </c>
      <c r="S62" s="55">
        <f t="shared" ref="S62:S64" si="55">-$D72+$H72</f>
        <v>0.91434252956941009</v>
      </c>
      <c r="T62" s="51">
        <f t="shared" si="44"/>
        <v>168.152759</v>
      </c>
      <c r="U62" s="51">
        <f t="shared" si="45"/>
        <v>152.76427699999999</v>
      </c>
      <c r="V62" s="51">
        <f t="shared" si="46"/>
        <v>112.676382</v>
      </c>
      <c r="W62" s="33"/>
      <c r="X62" s="35"/>
      <c r="Y62" s="35"/>
      <c r="Z62" s="35"/>
      <c r="AA62" s="35"/>
      <c r="AB62" s="35"/>
      <c r="AC62" s="32"/>
      <c r="AD62" s="32"/>
      <c r="AE62" s="32"/>
      <c r="AF62" s="32"/>
      <c r="AG62" s="32"/>
      <c r="AH62" s="33"/>
    </row>
    <row r="63" spans="1:34" x14ac:dyDescent="0.2">
      <c r="A63" s="46">
        <v>1000</v>
      </c>
      <c r="B63" s="32" t="s">
        <v>10</v>
      </c>
      <c r="C63" s="32">
        <v>100</v>
      </c>
      <c r="D63" s="51">
        <v>184.04933973000004</v>
      </c>
      <c r="E63" s="51">
        <v>4.8111852029615942</v>
      </c>
      <c r="F63" s="51">
        <v>0.48111852029615942</v>
      </c>
      <c r="G63" s="51">
        <v>182.78572742269535</v>
      </c>
      <c r="H63" s="51">
        <v>185.31295203730474</v>
      </c>
      <c r="I63" s="32"/>
      <c r="J63" s="24" t="s">
        <v>1</v>
      </c>
      <c r="K63" s="51">
        <f t="shared" si="47"/>
        <v>184.04933973000004</v>
      </c>
      <c r="L63" s="51">
        <f t="shared" si="48"/>
        <v>173.86866466999999</v>
      </c>
      <c r="M63" s="51">
        <f t="shared" si="49"/>
        <v>195.17000895999993</v>
      </c>
      <c r="N63" s="55">
        <f t="shared" si="50"/>
        <v>1.2636123073046974</v>
      </c>
      <c r="O63" s="55">
        <f t="shared" si="51"/>
        <v>2.5409224332914846</v>
      </c>
      <c r="P63" s="55">
        <f t="shared" si="52"/>
        <v>1.4339677011606113</v>
      </c>
      <c r="Q63" s="55">
        <f t="shared" si="53"/>
        <v>1.2636123073046974</v>
      </c>
      <c r="R63" s="55">
        <f t="shared" si="54"/>
        <v>2.5409224332914846</v>
      </c>
      <c r="S63" s="55">
        <f t="shared" si="55"/>
        <v>1.4339677011606113</v>
      </c>
      <c r="T63" s="51">
        <f t="shared" si="44"/>
        <v>168.152759</v>
      </c>
      <c r="U63" s="51">
        <f t="shared" si="45"/>
        <v>152.76427699999999</v>
      </c>
      <c r="V63" s="51">
        <f t="shared" si="46"/>
        <v>112.676382</v>
      </c>
      <c r="W63" s="33"/>
      <c r="X63" s="35"/>
      <c r="Y63" s="35"/>
      <c r="Z63" s="35"/>
      <c r="AA63" s="35"/>
      <c r="AB63" s="35"/>
      <c r="AC63" s="32"/>
      <c r="AD63" s="32"/>
      <c r="AE63" s="32"/>
      <c r="AF63" s="32"/>
      <c r="AG63" s="32"/>
      <c r="AH63" s="33"/>
    </row>
    <row r="64" spans="1:34" x14ac:dyDescent="0.2">
      <c r="A64" s="46">
        <v>1000</v>
      </c>
      <c r="B64" s="32" t="s">
        <v>11</v>
      </c>
      <c r="C64" s="32">
        <v>100</v>
      </c>
      <c r="D64" s="51">
        <v>208.29263733000005</v>
      </c>
      <c r="E64" s="51">
        <v>6.6149747919586126</v>
      </c>
      <c r="F64" s="51">
        <v>0.66149747919586122</v>
      </c>
      <c r="G64" s="51">
        <v>206.55527674066252</v>
      </c>
      <c r="H64" s="51">
        <v>210.02999791933757</v>
      </c>
      <c r="I64" s="32"/>
      <c r="J64" s="24" t="s">
        <v>15</v>
      </c>
      <c r="K64" s="51">
        <f t="shared" si="47"/>
        <v>208.29263733000005</v>
      </c>
      <c r="L64" s="51">
        <f t="shared" si="48"/>
        <v>183.10107070999999</v>
      </c>
      <c r="M64" s="51">
        <f t="shared" si="49"/>
        <v>169.70836320000001</v>
      </c>
      <c r="N64" s="55">
        <f t="shared" si="50"/>
        <v>1.737360589337527</v>
      </c>
      <c r="O64" s="55">
        <f t="shared" si="51"/>
        <v>5.3885601914245456</v>
      </c>
      <c r="P64" s="55">
        <f t="shared" si="52"/>
        <v>1.2411661910578289</v>
      </c>
      <c r="Q64" s="55">
        <f t="shared" si="53"/>
        <v>1.737360589337527</v>
      </c>
      <c r="R64" s="55">
        <f t="shared" si="54"/>
        <v>5.3885601914245456</v>
      </c>
      <c r="S64" s="55">
        <f t="shared" si="55"/>
        <v>1.2411661910578289</v>
      </c>
      <c r="T64" s="51">
        <f t="shared" si="44"/>
        <v>168.152759</v>
      </c>
      <c r="U64" s="51">
        <f t="shared" si="45"/>
        <v>152.76427699999999</v>
      </c>
      <c r="V64" s="51">
        <f t="shared" si="46"/>
        <v>112.676382</v>
      </c>
      <c r="W64" s="33"/>
      <c r="X64" s="35"/>
      <c r="Y64" s="35"/>
      <c r="Z64" s="35"/>
      <c r="AA64" s="35"/>
      <c r="AB64" s="35"/>
      <c r="AC64" s="32"/>
      <c r="AD64" s="32"/>
      <c r="AE64" s="32"/>
      <c r="AF64" s="32"/>
      <c r="AG64" s="32"/>
      <c r="AH64" s="33"/>
    </row>
    <row r="65" spans="1:34" x14ac:dyDescent="0.2">
      <c r="A65" s="46">
        <v>10000</v>
      </c>
      <c r="B65" s="32" t="s">
        <v>8</v>
      </c>
      <c r="C65" s="32">
        <v>1</v>
      </c>
      <c r="D65" s="51">
        <v>152.76427699999999</v>
      </c>
      <c r="E65" s="51">
        <v>0</v>
      </c>
      <c r="F65" s="51">
        <v>0</v>
      </c>
      <c r="G65" s="51">
        <v>152.76427699999999</v>
      </c>
      <c r="H65" s="51">
        <v>152.76427699999999</v>
      </c>
      <c r="I65" s="32"/>
      <c r="J65" s="24"/>
      <c r="K65" s="32"/>
      <c r="L65" s="32"/>
      <c r="M65" s="32"/>
      <c r="N65" s="32"/>
      <c r="O65" s="32"/>
      <c r="P65" s="32"/>
      <c r="T65" s="51">
        <f t="shared" si="44"/>
        <v>168.152759</v>
      </c>
      <c r="U65" s="51">
        <f t="shared" si="45"/>
        <v>152.76427699999999</v>
      </c>
      <c r="V65" s="51">
        <f t="shared" si="46"/>
        <v>112.676382</v>
      </c>
      <c r="W65" s="33"/>
      <c r="X65" s="35"/>
      <c r="Y65" s="35"/>
      <c r="Z65" s="35"/>
      <c r="AA65" s="35"/>
      <c r="AB65" s="35"/>
      <c r="AC65" s="32"/>
      <c r="AD65" s="32"/>
      <c r="AE65" s="32"/>
      <c r="AF65" s="32"/>
      <c r="AG65" s="32"/>
      <c r="AH65" s="33"/>
    </row>
    <row r="66" spans="1:34" x14ac:dyDescent="0.2">
      <c r="A66" s="46">
        <v>10000</v>
      </c>
      <c r="B66" s="32" t="s">
        <v>5</v>
      </c>
      <c r="C66" s="32">
        <v>1</v>
      </c>
      <c r="D66" s="51">
        <v>203.406711</v>
      </c>
      <c r="E66" s="51">
        <v>0</v>
      </c>
      <c r="F66" s="51">
        <v>0</v>
      </c>
      <c r="G66" s="51">
        <v>203.406711</v>
      </c>
      <c r="H66" s="51">
        <v>203.406711</v>
      </c>
      <c r="I66" s="32"/>
      <c r="J66" s="24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3"/>
      <c r="X66" s="35"/>
      <c r="Y66" s="35"/>
      <c r="Z66" s="35"/>
      <c r="AA66" s="35"/>
      <c r="AB66" s="35"/>
      <c r="AC66" s="32"/>
      <c r="AD66" s="32"/>
      <c r="AE66" s="32"/>
      <c r="AF66" s="32"/>
      <c r="AG66" s="32"/>
      <c r="AH66" s="33"/>
    </row>
    <row r="67" spans="1:34" x14ac:dyDescent="0.2">
      <c r="A67" s="46">
        <v>10000</v>
      </c>
      <c r="B67" s="32" t="s">
        <v>9</v>
      </c>
      <c r="C67" s="32">
        <v>50</v>
      </c>
      <c r="D67" s="51">
        <v>194.55707678000002</v>
      </c>
      <c r="E67" s="51">
        <v>3.7175019247157679</v>
      </c>
      <c r="F67" s="51">
        <v>0.52573416400811235</v>
      </c>
      <c r="G67" s="51">
        <v>193.14813446956094</v>
      </c>
      <c r="H67" s="51">
        <v>195.96601909043909</v>
      </c>
      <c r="I67" s="32"/>
      <c r="J67" s="24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3"/>
      <c r="X67" s="35"/>
      <c r="Y67" s="35"/>
      <c r="Z67" s="35"/>
      <c r="AA67" s="35"/>
      <c r="AB67" s="35"/>
      <c r="AC67" s="32"/>
      <c r="AD67" s="32"/>
      <c r="AE67" s="32"/>
      <c r="AF67" s="32"/>
      <c r="AG67" s="32"/>
      <c r="AH67" s="33"/>
    </row>
    <row r="68" spans="1:34" x14ac:dyDescent="0.2">
      <c r="A68" s="46">
        <v>10000</v>
      </c>
      <c r="B68" s="32" t="s">
        <v>10</v>
      </c>
      <c r="C68" s="32">
        <v>100</v>
      </c>
      <c r="D68" s="51">
        <v>173.86866466999999</v>
      </c>
      <c r="E68" s="51">
        <v>9.6745246483082958</v>
      </c>
      <c r="F68" s="51">
        <v>0.96745246483082958</v>
      </c>
      <c r="G68" s="51">
        <v>171.3277422367085</v>
      </c>
      <c r="H68" s="51">
        <v>176.40958710329147</v>
      </c>
      <c r="I68" s="32"/>
      <c r="J68" s="24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3"/>
      <c r="X68" s="35"/>
      <c r="Y68" s="35"/>
      <c r="Z68" s="35"/>
      <c r="AA68" s="35"/>
      <c r="AB68" s="35"/>
      <c r="AC68" s="32"/>
      <c r="AD68" s="32"/>
      <c r="AE68" s="32"/>
      <c r="AF68" s="32"/>
      <c r="AG68" s="32"/>
      <c r="AH68" s="33"/>
    </row>
    <row r="69" spans="1:34" x14ac:dyDescent="0.2">
      <c r="A69" s="46">
        <v>10000</v>
      </c>
      <c r="B69" s="32" t="s">
        <v>11</v>
      </c>
      <c r="C69" s="32">
        <v>100</v>
      </c>
      <c r="D69" s="51">
        <v>183.10107070999999</v>
      </c>
      <c r="E69" s="51">
        <v>20.516863367331791</v>
      </c>
      <c r="F69" s="51">
        <v>2.0516863367331792</v>
      </c>
      <c r="G69" s="51">
        <v>177.71251051857544</v>
      </c>
      <c r="H69" s="51">
        <v>188.48963090142453</v>
      </c>
      <c r="I69" s="32"/>
      <c r="J69" s="24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3"/>
      <c r="X69" s="35"/>
      <c r="Y69" s="35"/>
      <c r="Z69" s="35"/>
      <c r="AA69" s="35"/>
      <c r="AB69" s="35"/>
      <c r="AC69" s="32"/>
      <c r="AD69" s="32"/>
      <c r="AE69" s="32"/>
      <c r="AF69" s="32"/>
      <c r="AG69" s="32"/>
      <c r="AH69" s="33"/>
    </row>
    <row r="70" spans="1:34" x14ac:dyDescent="0.2">
      <c r="A70" s="46">
        <v>100000</v>
      </c>
      <c r="B70" s="32" t="s">
        <v>8</v>
      </c>
      <c r="C70" s="32">
        <v>1</v>
      </c>
      <c r="D70" s="51">
        <v>112.676382</v>
      </c>
      <c r="E70" s="51">
        <v>0</v>
      </c>
      <c r="F70" s="51">
        <v>0</v>
      </c>
      <c r="G70" s="51">
        <v>112.676382</v>
      </c>
      <c r="H70" s="51">
        <v>112.676382</v>
      </c>
      <c r="I70" s="32"/>
      <c r="J70" s="24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3"/>
      <c r="X70" s="35"/>
      <c r="Y70" s="35"/>
      <c r="Z70" s="35"/>
      <c r="AA70" s="35"/>
      <c r="AB70" s="35"/>
      <c r="AC70" s="32"/>
      <c r="AD70" s="32"/>
      <c r="AE70" s="32"/>
      <c r="AF70" s="32"/>
      <c r="AG70" s="32"/>
      <c r="AH70" s="33"/>
    </row>
    <row r="71" spans="1:34" x14ac:dyDescent="0.2">
      <c r="A71" s="46">
        <v>100000</v>
      </c>
      <c r="B71" s="32" t="s">
        <v>5</v>
      </c>
      <c r="C71" s="32">
        <v>1</v>
      </c>
      <c r="D71" s="51">
        <v>203.10889499999999</v>
      </c>
      <c r="E71" s="51">
        <v>0</v>
      </c>
      <c r="F71" s="51">
        <v>0</v>
      </c>
      <c r="G71" s="51">
        <v>203.10889499999999</v>
      </c>
      <c r="H71" s="51">
        <v>203.10889499999999</v>
      </c>
      <c r="I71" s="32"/>
      <c r="J71" s="24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3"/>
      <c r="X71" s="35"/>
      <c r="Y71" s="35"/>
      <c r="Z71" s="35"/>
      <c r="AA71" s="35"/>
      <c r="AB71" s="35"/>
      <c r="AC71" s="32"/>
      <c r="AD71" s="32"/>
      <c r="AE71" s="32"/>
      <c r="AF71" s="32"/>
      <c r="AG71" s="32"/>
      <c r="AH71" s="33"/>
    </row>
    <row r="72" spans="1:34" x14ac:dyDescent="0.2">
      <c r="A72" s="46">
        <v>100000</v>
      </c>
      <c r="B72" s="32" t="s">
        <v>9</v>
      </c>
      <c r="C72" s="32">
        <v>50</v>
      </c>
      <c r="D72" s="51">
        <v>172.57158922000002</v>
      </c>
      <c r="E72" s="51">
        <v>2.4124977214038852</v>
      </c>
      <c r="F72" s="51">
        <v>0.3411786996803563</v>
      </c>
      <c r="G72" s="51">
        <v>171.65724669043061</v>
      </c>
      <c r="H72" s="51">
        <v>173.48593174956943</v>
      </c>
      <c r="I72" s="32"/>
      <c r="J72" s="24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3"/>
      <c r="X72" s="35"/>
      <c r="Y72" s="35"/>
      <c r="Z72" s="35"/>
      <c r="AA72" s="35"/>
      <c r="AB72" s="35"/>
      <c r="AC72" s="32"/>
      <c r="AD72" s="32"/>
      <c r="AE72" s="32"/>
      <c r="AF72" s="32"/>
      <c r="AG72" s="32"/>
      <c r="AH72" s="33"/>
    </row>
    <row r="73" spans="1:34" x14ac:dyDescent="0.2">
      <c r="A73" s="46">
        <v>100000</v>
      </c>
      <c r="B73" s="32" t="s">
        <v>10</v>
      </c>
      <c r="C73" s="32">
        <v>50</v>
      </c>
      <c r="D73" s="51">
        <v>195.17000895999993</v>
      </c>
      <c r="E73" s="51">
        <v>3.7835315538104406</v>
      </c>
      <c r="F73" s="51">
        <v>0.53507216370652744</v>
      </c>
      <c r="G73" s="51">
        <v>193.73604125883932</v>
      </c>
      <c r="H73" s="51">
        <v>196.60397666116054</v>
      </c>
      <c r="I73" s="32"/>
      <c r="J73" s="24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3"/>
      <c r="X73" s="35"/>
      <c r="Y73" s="35"/>
      <c r="Z73" s="35"/>
      <c r="AA73" s="35"/>
      <c r="AB73" s="35"/>
      <c r="AC73" s="32"/>
      <c r="AD73" s="32"/>
      <c r="AE73" s="32"/>
      <c r="AF73" s="32"/>
      <c r="AG73" s="32"/>
      <c r="AH73" s="33"/>
    </row>
    <row r="74" spans="1:34" x14ac:dyDescent="0.2">
      <c r="A74" s="46">
        <v>100000</v>
      </c>
      <c r="B74" s="32" t="s">
        <v>11</v>
      </c>
      <c r="C74" s="32">
        <v>50</v>
      </c>
      <c r="D74" s="51">
        <v>169.70836320000001</v>
      </c>
      <c r="E74" s="51">
        <v>3.2748237241251918</v>
      </c>
      <c r="F74" s="51">
        <v>0.46313001250390134</v>
      </c>
      <c r="G74" s="51">
        <v>168.46719700894218</v>
      </c>
      <c r="H74" s="51">
        <v>170.94952939105784</v>
      </c>
      <c r="I74" s="32"/>
      <c r="J74" s="24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3"/>
      <c r="X74" s="35"/>
      <c r="Y74" s="35"/>
      <c r="Z74" s="35"/>
      <c r="AA74" s="35"/>
      <c r="AB74" s="35"/>
      <c r="AC74" s="32"/>
      <c r="AD74" s="32"/>
      <c r="AE74" s="32"/>
      <c r="AF74" s="32"/>
      <c r="AG74" s="32"/>
      <c r="AH74" s="33"/>
    </row>
    <row r="75" spans="1:34" ht="13.5" thickBot="1" x14ac:dyDescent="0.25">
      <c r="A75" s="38"/>
      <c r="B75" s="39"/>
      <c r="C75" s="39"/>
      <c r="D75" s="39"/>
      <c r="E75" s="39"/>
      <c r="F75" s="39"/>
      <c r="G75" s="39"/>
      <c r="H75" s="39"/>
      <c r="I75" s="39"/>
      <c r="J75" s="28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41"/>
      <c r="X75" s="43"/>
      <c r="Y75" s="43"/>
      <c r="Z75" s="43"/>
      <c r="AA75" s="43"/>
      <c r="AB75" s="43"/>
      <c r="AC75" s="39"/>
      <c r="AD75" s="39"/>
      <c r="AE75" s="39"/>
      <c r="AF75" s="39"/>
      <c r="AG75" s="39"/>
      <c r="AH75" s="41"/>
    </row>
    <row r="76" spans="1:34" x14ac:dyDescent="0.2">
      <c r="X76" s="45"/>
      <c r="Y76" s="45"/>
      <c r="Z76" s="45"/>
      <c r="AA76" s="45"/>
      <c r="AB76" s="45"/>
    </row>
    <row r="77" spans="1:34" x14ac:dyDescent="0.2">
      <c r="X77" s="45"/>
      <c r="Y77" s="45"/>
      <c r="Z77" s="45"/>
      <c r="AA77" s="45"/>
      <c r="AB77" s="45"/>
    </row>
    <row r="78" spans="1:34" x14ac:dyDescent="0.2">
      <c r="X78" s="45"/>
      <c r="Y78" s="45"/>
      <c r="Z78" s="45"/>
      <c r="AA78" s="45"/>
      <c r="AB78" s="45"/>
    </row>
    <row r="79" spans="1:34" x14ac:dyDescent="0.2">
      <c r="X79" s="45"/>
      <c r="Y79" s="45"/>
      <c r="Z79" s="45"/>
      <c r="AA79" s="45"/>
      <c r="AB79" s="45"/>
    </row>
    <row r="80" spans="1:34" x14ac:dyDescent="0.2">
      <c r="X80" s="45"/>
      <c r="Y80" s="45"/>
      <c r="Z80" s="45"/>
      <c r="AA80" s="45"/>
      <c r="AB80" s="45"/>
    </row>
    <row r="81" spans="24:28" x14ac:dyDescent="0.2">
      <c r="X81" s="45"/>
      <c r="Y81" s="45"/>
      <c r="Z81" s="45"/>
      <c r="AA81" s="45"/>
      <c r="AB81" s="45"/>
    </row>
    <row r="82" spans="24:28" x14ac:dyDescent="0.2">
      <c r="X82" s="45"/>
      <c r="Y82" s="45"/>
      <c r="Z82" s="45"/>
      <c r="AA82" s="45"/>
      <c r="AB82" s="45"/>
    </row>
    <row r="83" spans="24:28" x14ac:dyDescent="0.2">
      <c r="X83" s="45"/>
      <c r="Y83" s="45"/>
      <c r="Z83" s="45"/>
      <c r="AA83" s="45"/>
      <c r="AB83" s="45"/>
    </row>
    <row r="84" spans="24:28" x14ac:dyDescent="0.2">
      <c r="X84" s="45"/>
      <c r="Y84" s="45"/>
      <c r="Z84" s="45"/>
      <c r="AA84" s="45"/>
      <c r="AB84" s="45"/>
    </row>
    <row r="85" spans="24:28" x14ac:dyDescent="0.2">
      <c r="X85" s="45"/>
      <c r="Y85" s="45"/>
      <c r="Z85" s="45"/>
      <c r="AA85" s="45"/>
      <c r="AB85" s="45"/>
    </row>
    <row r="86" spans="24:28" x14ac:dyDescent="0.2">
      <c r="X86" s="45"/>
      <c r="Y86" s="45"/>
      <c r="Z86" s="45"/>
      <c r="AA86" s="45"/>
      <c r="AB86" s="45"/>
    </row>
    <row r="87" spans="24:28" x14ac:dyDescent="0.2">
      <c r="X87" s="45"/>
      <c r="Y87" s="45"/>
      <c r="Z87" s="45"/>
      <c r="AA87" s="45"/>
      <c r="AB87" s="45"/>
    </row>
    <row r="88" spans="24:28" x14ac:dyDescent="0.2">
      <c r="X88" s="45"/>
      <c r="Y88" s="45"/>
      <c r="Z88" s="45"/>
      <c r="AA88" s="45"/>
      <c r="AB88" s="45"/>
    </row>
    <row r="89" spans="24:28" x14ac:dyDescent="0.2">
      <c r="X89" s="45"/>
      <c r="Y89" s="45"/>
      <c r="Z89" s="45"/>
      <c r="AA89" s="45"/>
      <c r="AB89" s="45"/>
    </row>
    <row r="90" spans="24:28" x14ac:dyDescent="0.2">
      <c r="X90" s="45"/>
      <c r="Y90" s="45"/>
      <c r="Z90" s="45"/>
      <c r="AA90" s="45"/>
      <c r="AB90" s="45"/>
    </row>
    <row r="91" spans="24:28" x14ac:dyDescent="0.2">
      <c r="X91" s="45"/>
      <c r="Y91" s="45"/>
      <c r="Z91" s="45"/>
      <c r="AA91" s="45"/>
      <c r="AB91" s="45"/>
    </row>
    <row r="92" spans="24:28" x14ac:dyDescent="0.2">
      <c r="X92" s="45"/>
      <c r="Y92" s="45"/>
      <c r="Z92" s="45"/>
      <c r="AA92" s="45"/>
      <c r="AB92" s="45"/>
    </row>
    <row r="93" spans="24:28" x14ac:dyDescent="0.2">
      <c r="X93" s="45"/>
      <c r="Y93" s="45"/>
      <c r="Z93" s="45"/>
      <c r="AA93" s="45"/>
      <c r="AB93" s="45"/>
    </row>
    <row r="94" spans="24:28" x14ac:dyDescent="0.2">
      <c r="X94" s="45"/>
      <c r="Y94" s="45"/>
      <c r="Z94" s="45"/>
      <c r="AA94" s="45"/>
      <c r="AB94" s="45"/>
    </row>
    <row r="95" spans="24:28" x14ac:dyDescent="0.2">
      <c r="X95" s="45"/>
      <c r="Y95" s="45"/>
      <c r="Z95" s="45"/>
      <c r="AA95" s="45"/>
      <c r="AB95" s="45"/>
    </row>
    <row r="96" spans="24:28" x14ac:dyDescent="0.2">
      <c r="X96" s="45"/>
      <c r="Y96" s="45"/>
      <c r="Z96" s="45"/>
      <c r="AA96" s="45"/>
      <c r="AB96" s="45"/>
    </row>
    <row r="97" spans="24:28" x14ac:dyDescent="0.2">
      <c r="X97" s="45"/>
      <c r="Y97" s="45"/>
      <c r="Z97" s="45"/>
      <c r="AA97" s="45"/>
      <c r="AB97" s="45"/>
    </row>
    <row r="98" spans="24:28" x14ac:dyDescent="0.2">
      <c r="X98" s="45"/>
      <c r="Y98" s="45"/>
      <c r="Z98" s="45"/>
      <c r="AA98" s="45"/>
      <c r="AB98" s="45"/>
    </row>
    <row r="99" spans="24:28" x14ac:dyDescent="0.2">
      <c r="X99" s="45"/>
      <c r="Y99" s="45"/>
      <c r="Z99" s="45"/>
      <c r="AA99" s="45"/>
      <c r="AB99" s="45"/>
    </row>
    <row r="100" spans="24:28" x14ac:dyDescent="0.2">
      <c r="X100" s="45"/>
      <c r="Y100" s="45"/>
      <c r="Z100" s="45"/>
      <c r="AA100" s="45"/>
      <c r="AB100" s="45"/>
    </row>
    <row r="101" spans="24:28" x14ac:dyDescent="0.2">
      <c r="X101" s="45"/>
      <c r="Y101" s="45"/>
      <c r="Z101" s="45"/>
      <c r="AA101" s="45"/>
      <c r="AB101" s="45"/>
    </row>
    <row r="102" spans="24:28" x14ac:dyDescent="0.2">
      <c r="X102" s="45"/>
      <c r="Y102" s="45"/>
      <c r="Z102" s="45"/>
      <c r="AA102" s="45"/>
      <c r="AB102" s="45"/>
    </row>
    <row r="103" spans="24:28" x14ac:dyDescent="0.2">
      <c r="X103" s="45"/>
      <c r="Y103" s="45"/>
      <c r="Z103" s="45"/>
      <c r="AA103" s="45"/>
      <c r="AB103" s="45"/>
    </row>
    <row r="104" spans="24:28" x14ac:dyDescent="0.2">
      <c r="X104" s="45"/>
      <c r="Y104" s="45"/>
      <c r="Z104" s="45"/>
      <c r="AA104" s="45"/>
      <c r="AB104" s="45"/>
    </row>
    <row r="105" spans="24:28" x14ac:dyDescent="0.2">
      <c r="X105" s="45"/>
      <c r="Y105" s="45"/>
      <c r="Z105" s="45"/>
      <c r="AA105" s="45"/>
      <c r="AB105" s="45"/>
    </row>
    <row r="106" spans="24:28" x14ac:dyDescent="0.2">
      <c r="X106" s="45"/>
      <c r="Y106" s="45"/>
      <c r="Z106" s="45"/>
      <c r="AA106" s="45"/>
      <c r="AB106" s="45"/>
    </row>
    <row r="107" spans="24:28" x14ac:dyDescent="0.2">
      <c r="X107" s="45"/>
      <c r="Y107" s="45"/>
      <c r="Z107" s="45"/>
      <c r="AA107" s="45"/>
      <c r="AB107" s="45"/>
    </row>
    <row r="108" spans="24:28" x14ac:dyDescent="0.2">
      <c r="X108" s="45"/>
      <c r="Y108" s="45"/>
      <c r="Z108" s="45"/>
      <c r="AA108" s="45"/>
      <c r="AB108" s="45"/>
    </row>
    <row r="109" spans="24:28" x14ac:dyDescent="0.2">
      <c r="X109" s="45"/>
      <c r="Y109" s="45"/>
      <c r="Z109" s="45"/>
      <c r="AA109" s="45"/>
      <c r="AB109" s="45"/>
    </row>
    <row r="110" spans="24:28" x14ac:dyDescent="0.2">
      <c r="X110" s="45"/>
      <c r="Y110" s="45"/>
      <c r="Z110" s="45"/>
      <c r="AA110" s="45"/>
      <c r="AB110" s="45"/>
    </row>
    <row r="111" spans="24:28" x14ac:dyDescent="0.2">
      <c r="X111" s="45"/>
      <c r="Y111" s="45"/>
      <c r="Z111" s="45"/>
      <c r="AA111" s="45"/>
      <c r="AB111" s="45"/>
    </row>
    <row r="112" spans="24:28" x14ac:dyDescent="0.2">
      <c r="X112" s="45"/>
      <c r="Y112" s="45"/>
      <c r="Z112" s="45"/>
      <c r="AA112" s="45"/>
      <c r="AB112" s="45"/>
    </row>
    <row r="113" spans="24:28" x14ac:dyDescent="0.2">
      <c r="X113" s="45"/>
      <c r="Y113" s="45"/>
      <c r="Z113" s="45"/>
      <c r="AA113" s="45"/>
      <c r="AB113" s="45"/>
    </row>
    <row r="114" spans="24:28" x14ac:dyDescent="0.2">
      <c r="X114" s="45"/>
      <c r="Y114" s="45"/>
      <c r="Z114" s="45"/>
      <c r="AA114" s="45"/>
      <c r="AB114" s="45"/>
    </row>
    <row r="115" spans="24:28" x14ac:dyDescent="0.2">
      <c r="X115" s="45"/>
      <c r="Y115" s="45"/>
      <c r="Z115" s="45"/>
      <c r="AA115" s="45"/>
      <c r="AB115" s="45"/>
    </row>
    <row r="116" spans="24:28" x14ac:dyDescent="0.2">
      <c r="X116" s="45"/>
      <c r="Y116" s="45"/>
      <c r="Z116" s="45"/>
      <c r="AA116" s="45"/>
      <c r="AB116" s="45"/>
    </row>
    <row r="117" spans="24:28" x14ac:dyDescent="0.2">
      <c r="X117" s="45"/>
      <c r="Y117" s="45"/>
      <c r="Z117" s="45"/>
      <c r="AA117" s="45"/>
      <c r="AB117" s="45"/>
    </row>
    <row r="118" spans="24:28" x14ac:dyDescent="0.2">
      <c r="X118" s="45"/>
      <c r="Y118" s="45"/>
      <c r="Z118" s="45"/>
      <c r="AA118" s="45"/>
      <c r="AB118" s="45"/>
    </row>
    <row r="119" spans="24:28" x14ac:dyDescent="0.2">
      <c r="X119" s="45"/>
      <c r="Y119" s="45"/>
      <c r="Z119" s="45"/>
      <c r="AA119" s="45"/>
      <c r="AB119" s="45"/>
    </row>
    <row r="120" spans="24:28" x14ac:dyDescent="0.2">
      <c r="X120" s="45"/>
      <c r="Y120" s="45"/>
      <c r="Z120" s="45"/>
      <c r="AA120" s="45"/>
      <c r="AB120" s="45"/>
    </row>
    <row r="121" spans="24:28" x14ac:dyDescent="0.2">
      <c r="X121" s="45"/>
      <c r="Y121" s="45"/>
      <c r="Z121" s="45"/>
      <c r="AA121" s="45"/>
      <c r="AB121" s="45"/>
    </row>
    <row r="122" spans="24:28" x14ac:dyDescent="0.2">
      <c r="X122" s="45"/>
      <c r="Y122" s="45"/>
      <c r="Z122" s="45"/>
      <c r="AA122" s="45"/>
      <c r="AB122" s="45"/>
    </row>
    <row r="123" spans="24:28" x14ac:dyDescent="0.2">
      <c r="X123" s="45"/>
      <c r="Y123" s="45"/>
      <c r="Z123" s="45"/>
      <c r="AA123" s="45"/>
      <c r="AB123" s="45"/>
    </row>
    <row r="124" spans="24:28" x14ac:dyDescent="0.2">
      <c r="X124" s="45"/>
      <c r="Y124" s="45"/>
      <c r="Z124" s="45"/>
      <c r="AA124" s="45"/>
      <c r="AB124" s="45"/>
    </row>
    <row r="125" spans="24:28" x14ac:dyDescent="0.2">
      <c r="X125" s="45"/>
      <c r="Y125" s="45"/>
      <c r="Z125" s="45"/>
      <c r="AA125" s="45"/>
      <c r="AB125" s="45"/>
    </row>
    <row r="126" spans="24:28" x14ac:dyDescent="0.2">
      <c r="X126" s="45"/>
      <c r="Y126" s="45"/>
      <c r="Z126" s="45"/>
      <c r="AA126" s="45"/>
      <c r="AB126" s="45"/>
    </row>
    <row r="127" spans="24:28" x14ac:dyDescent="0.2">
      <c r="X127" s="45"/>
      <c r="Y127" s="45"/>
      <c r="Z127" s="45"/>
      <c r="AA127" s="45"/>
      <c r="AB127" s="45"/>
    </row>
    <row r="128" spans="24:28" x14ac:dyDescent="0.2">
      <c r="X128" s="45"/>
      <c r="Y128" s="45"/>
      <c r="Z128" s="45"/>
      <c r="AA128" s="45"/>
      <c r="AB128" s="45"/>
    </row>
    <row r="129" spans="24:28" x14ac:dyDescent="0.2">
      <c r="X129" s="45"/>
      <c r="Y129" s="45"/>
      <c r="Z129" s="45"/>
      <c r="AA129" s="45"/>
      <c r="AB129" s="45"/>
    </row>
    <row r="130" spans="24:28" x14ac:dyDescent="0.2">
      <c r="X130" s="45"/>
      <c r="Y130" s="45"/>
      <c r="Z130" s="45"/>
      <c r="AA130" s="45"/>
      <c r="AB130" s="45"/>
    </row>
    <row r="131" spans="24:28" x14ac:dyDescent="0.2">
      <c r="X131" s="45"/>
      <c r="Y131" s="45"/>
      <c r="Z131" s="45"/>
      <c r="AA131" s="45"/>
      <c r="AB131" s="45"/>
    </row>
    <row r="132" spans="24:28" x14ac:dyDescent="0.2">
      <c r="X132" s="45"/>
      <c r="Y132" s="45"/>
      <c r="Z132" s="45"/>
      <c r="AA132" s="45"/>
      <c r="AB132" s="45"/>
    </row>
    <row r="133" spans="24:28" x14ac:dyDescent="0.2">
      <c r="X133" s="45"/>
      <c r="Y133" s="45"/>
      <c r="Z133" s="45"/>
      <c r="AA133" s="45"/>
      <c r="AB133" s="45"/>
    </row>
    <row r="134" spans="24:28" x14ac:dyDescent="0.2">
      <c r="X134" s="45"/>
      <c r="Y134" s="45"/>
      <c r="Z134" s="45"/>
      <c r="AA134" s="45"/>
      <c r="AB134" s="45"/>
    </row>
    <row r="135" spans="24:28" x14ac:dyDescent="0.2">
      <c r="X135" s="45"/>
      <c r="Y135" s="45"/>
      <c r="Z135" s="45"/>
      <c r="AA135" s="45"/>
      <c r="AB135" s="45"/>
    </row>
    <row r="136" spans="24:28" x14ac:dyDescent="0.2">
      <c r="X136" s="45"/>
      <c r="Y136" s="45"/>
      <c r="Z136" s="45"/>
      <c r="AA136" s="45"/>
      <c r="AB136" s="45"/>
    </row>
    <row r="137" spans="24:28" x14ac:dyDescent="0.2">
      <c r="X137" s="45"/>
      <c r="Y137" s="45"/>
      <c r="Z137" s="45"/>
      <c r="AA137" s="45"/>
      <c r="AB137" s="45"/>
    </row>
    <row r="138" spans="24:28" x14ac:dyDescent="0.2">
      <c r="X138" s="45"/>
      <c r="Y138" s="45"/>
      <c r="Z138" s="45"/>
      <c r="AA138" s="45"/>
      <c r="AB138" s="45"/>
    </row>
    <row r="139" spans="24:28" x14ac:dyDescent="0.2">
      <c r="X139" s="45"/>
      <c r="Y139" s="45"/>
      <c r="Z139" s="45"/>
      <c r="AA139" s="45"/>
      <c r="AB139" s="45"/>
    </row>
    <row r="140" spans="24:28" x14ac:dyDescent="0.2">
      <c r="X140" s="45"/>
      <c r="Y140" s="45"/>
      <c r="Z140" s="45"/>
      <c r="AA140" s="45"/>
      <c r="AB140" s="45"/>
    </row>
    <row r="141" spans="24:28" x14ac:dyDescent="0.2">
      <c r="X141" s="45"/>
      <c r="Y141" s="45"/>
      <c r="Z141" s="45"/>
      <c r="AA141" s="45"/>
      <c r="AB141" s="45"/>
    </row>
    <row r="142" spans="24:28" x14ac:dyDescent="0.2">
      <c r="X142" s="45"/>
      <c r="Y142" s="45"/>
      <c r="Z142" s="45"/>
      <c r="AA142" s="45"/>
      <c r="AB142" s="45"/>
    </row>
    <row r="143" spans="24:28" x14ac:dyDescent="0.2">
      <c r="X143" s="45"/>
      <c r="Y143" s="45"/>
      <c r="Z143" s="45"/>
      <c r="AA143" s="45"/>
      <c r="AB143" s="45"/>
    </row>
    <row r="144" spans="24:28" x14ac:dyDescent="0.2">
      <c r="X144" s="45"/>
      <c r="Y144" s="45"/>
      <c r="Z144" s="45"/>
      <c r="AA144" s="45"/>
      <c r="AB144" s="45"/>
    </row>
    <row r="145" spans="24:28" x14ac:dyDescent="0.2">
      <c r="X145" s="45"/>
      <c r="Y145" s="45"/>
      <c r="Z145" s="45"/>
      <c r="AA145" s="45"/>
      <c r="AB145" s="45"/>
    </row>
    <row r="146" spans="24:28" x14ac:dyDescent="0.2">
      <c r="X146" s="45"/>
      <c r="Y146" s="45"/>
      <c r="Z146" s="45"/>
      <c r="AA146" s="45"/>
      <c r="AB146" s="45"/>
    </row>
    <row r="147" spans="24:28" x14ac:dyDescent="0.2">
      <c r="X147" s="45"/>
      <c r="Y147" s="45"/>
      <c r="Z147" s="45"/>
      <c r="AA147" s="45"/>
      <c r="AB147" s="45"/>
    </row>
    <row r="148" spans="24:28" x14ac:dyDescent="0.2">
      <c r="X148" s="45"/>
      <c r="Y148" s="45"/>
      <c r="Z148" s="45"/>
      <c r="AA148" s="45"/>
      <c r="AB148" s="45"/>
    </row>
    <row r="149" spans="24:28" x14ac:dyDescent="0.2">
      <c r="X149" s="45"/>
      <c r="Y149" s="45"/>
      <c r="Z149" s="45"/>
      <c r="AA149" s="45"/>
      <c r="AB149" s="45"/>
    </row>
    <row r="150" spans="24:28" x14ac:dyDescent="0.2">
      <c r="X150" s="45"/>
      <c r="Y150" s="45"/>
      <c r="Z150" s="45"/>
      <c r="AA150" s="45"/>
      <c r="AB150" s="45"/>
    </row>
    <row r="151" spans="24:28" x14ac:dyDescent="0.2">
      <c r="X151" s="45"/>
      <c r="Y151" s="45"/>
      <c r="Z151" s="45"/>
      <c r="AA151" s="45"/>
      <c r="AB151" s="45"/>
    </row>
    <row r="152" spans="24:28" x14ac:dyDescent="0.2">
      <c r="X152" s="45"/>
      <c r="Y152" s="45"/>
      <c r="Z152" s="45"/>
      <c r="AA152" s="45"/>
      <c r="AB152" s="45"/>
    </row>
    <row r="153" spans="24:28" x14ac:dyDescent="0.2">
      <c r="X153" s="45"/>
      <c r="Y153" s="45"/>
      <c r="Z153" s="45"/>
      <c r="AA153" s="45"/>
      <c r="AB153" s="45"/>
    </row>
    <row r="154" spans="24:28" x14ac:dyDescent="0.2">
      <c r="X154" s="45"/>
      <c r="Y154" s="45"/>
      <c r="Z154" s="45"/>
      <c r="AA154" s="45"/>
      <c r="AB154" s="45"/>
    </row>
    <row r="155" spans="24:28" x14ac:dyDescent="0.2">
      <c r="X155" s="45"/>
      <c r="Y155" s="45"/>
      <c r="Z155" s="45"/>
      <c r="AA155" s="45"/>
      <c r="AB155" s="45"/>
    </row>
    <row r="156" spans="24:28" x14ac:dyDescent="0.2">
      <c r="X156" s="45"/>
      <c r="Y156" s="45"/>
      <c r="Z156" s="45"/>
      <c r="AA156" s="45"/>
      <c r="AB156" s="45"/>
    </row>
    <row r="157" spans="24:28" x14ac:dyDescent="0.2">
      <c r="X157" s="45"/>
      <c r="Y157" s="45"/>
      <c r="Z157" s="45"/>
      <c r="AA157" s="45"/>
      <c r="AB157" s="45"/>
    </row>
    <row r="158" spans="24:28" x14ac:dyDescent="0.2">
      <c r="X158" s="45"/>
      <c r="Y158" s="45"/>
      <c r="Z158" s="45"/>
      <c r="AA158" s="45"/>
      <c r="AB158" s="45"/>
    </row>
    <row r="159" spans="24:28" x14ac:dyDescent="0.2">
      <c r="X159" s="45"/>
      <c r="Y159" s="45"/>
      <c r="Z159" s="45"/>
      <c r="AA159" s="45"/>
      <c r="AB159" s="45"/>
    </row>
    <row r="160" spans="24:28" x14ac:dyDescent="0.2">
      <c r="X160" s="45"/>
      <c r="Y160" s="45"/>
      <c r="Z160" s="45"/>
      <c r="AA160" s="45"/>
      <c r="AB160" s="45"/>
    </row>
    <row r="161" spans="24:28" x14ac:dyDescent="0.2">
      <c r="X161" s="45"/>
      <c r="Y161" s="45"/>
      <c r="Z161" s="45"/>
      <c r="AA161" s="45"/>
      <c r="AB161" s="45"/>
    </row>
    <row r="162" spans="24:28" x14ac:dyDescent="0.2">
      <c r="X162" s="45"/>
      <c r="Y162" s="45"/>
      <c r="Z162" s="45"/>
      <c r="AA162" s="45"/>
      <c r="AB162" s="45"/>
    </row>
    <row r="163" spans="24:28" x14ac:dyDescent="0.2">
      <c r="X163" s="45"/>
      <c r="Y163" s="45"/>
      <c r="Z163" s="45"/>
      <c r="AA163" s="45"/>
      <c r="AB163" s="45"/>
    </row>
    <row r="164" spans="24:28" x14ac:dyDescent="0.2">
      <c r="X164" s="45"/>
      <c r="Y164" s="45"/>
      <c r="Z164" s="45"/>
      <c r="AA164" s="45"/>
      <c r="AB164" s="45"/>
    </row>
    <row r="165" spans="24:28" x14ac:dyDescent="0.2">
      <c r="X165" s="45"/>
      <c r="Y165" s="45"/>
      <c r="Z165" s="45"/>
      <c r="AA165" s="45"/>
      <c r="AB165" s="45"/>
    </row>
    <row r="166" spans="24:28" x14ac:dyDescent="0.2">
      <c r="X166" s="45"/>
      <c r="Y166" s="45"/>
      <c r="Z166" s="45"/>
      <c r="AA166" s="45"/>
      <c r="AB166" s="45"/>
    </row>
    <row r="167" spans="24:28" x14ac:dyDescent="0.2">
      <c r="X167" s="45"/>
      <c r="Y167" s="45"/>
      <c r="Z167" s="45"/>
      <c r="AA167" s="45"/>
      <c r="AB167" s="45"/>
    </row>
    <row r="168" spans="24:28" x14ac:dyDescent="0.2">
      <c r="X168" s="45"/>
      <c r="Y168" s="45"/>
      <c r="Z168" s="45"/>
      <c r="AA168" s="45"/>
      <c r="AB168" s="45"/>
    </row>
    <row r="169" spans="24:28" x14ac:dyDescent="0.2">
      <c r="X169" s="45"/>
      <c r="Y169" s="45"/>
      <c r="Z169" s="45"/>
      <c r="AA169" s="45"/>
      <c r="AB169" s="45"/>
    </row>
    <row r="170" spans="24:28" x14ac:dyDescent="0.2">
      <c r="X170" s="45"/>
      <c r="Y170" s="45"/>
      <c r="Z170" s="45"/>
      <c r="AA170" s="45"/>
      <c r="AB170" s="45"/>
    </row>
    <row r="171" spans="24:28" x14ac:dyDescent="0.2">
      <c r="X171" s="45"/>
      <c r="Y171" s="45"/>
      <c r="Z171" s="45"/>
      <c r="AA171" s="45"/>
      <c r="AB171" s="45"/>
    </row>
    <row r="172" spans="24:28" x14ac:dyDescent="0.2">
      <c r="X172" s="45"/>
      <c r="Y172" s="45"/>
      <c r="Z172" s="45"/>
      <c r="AA172" s="45"/>
      <c r="AB172" s="45"/>
    </row>
    <row r="173" spans="24:28" x14ac:dyDescent="0.2">
      <c r="X173" s="45"/>
      <c r="Y173" s="45"/>
      <c r="Z173" s="45"/>
      <c r="AA173" s="45"/>
      <c r="AB173" s="45"/>
    </row>
    <row r="174" spans="24:28" x14ac:dyDescent="0.2">
      <c r="X174" s="45"/>
      <c r="Y174" s="45"/>
      <c r="Z174" s="45"/>
      <c r="AA174" s="45"/>
      <c r="AB174" s="45"/>
    </row>
    <row r="175" spans="24:28" x14ac:dyDescent="0.2">
      <c r="X175" s="45"/>
      <c r="Y175" s="45"/>
      <c r="Z175" s="45"/>
      <c r="AA175" s="45"/>
      <c r="AB175" s="45"/>
    </row>
    <row r="176" spans="24:28" x14ac:dyDescent="0.2">
      <c r="X176" s="45"/>
      <c r="Y176" s="45"/>
      <c r="Z176" s="45"/>
      <c r="AA176" s="45"/>
      <c r="AB176" s="45"/>
    </row>
    <row r="177" spans="24:28" x14ac:dyDescent="0.2">
      <c r="X177" s="45"/>
      <c r="Y177" s="45"/>
      <c r="Z177" s="45"/>
      <c r="AA177" s="45"/>
      <c r="AB177" s="45"/>
    </row>
    <row r="178" spans="24:28" x14ac:dyDescent="0.2">
      <c r="X178" s="45"/>
      <c r="Y178" s="45"/>
      <c r="Z178" s="45"/>
      <c r="AA178" s="45"/>
      <c r="AB178" s="45"/>
    </row>
    <row r="179" spans="24:28" x14ac:dyDescent="0.2">
      <c r="X179" s="45"/>
      <c r="Y179" s="45"/>
      <c r="Z179" s="45"/>
      <c r="AA179" s="45"/>
      <c r="AB179" s="45"/>
    </row>
    <row r="180" spans="24:28" x14ac:dyDescent="0.2">
      <c r="X180" s="45"/>
      <c r="Y180" s="45"/>
      <c r="Z180" s="45"/>
      <c r="AA180" s="45"/>
      <c r="AB180" s="45"/>
    </row>
    <row r="181" spans="24:28" x14ac:dyDescent="0.2">
      <c r="X181" s="45"/>
      <c r="Y181" s="45"/>
      <c r="Z181" s="45"/>
      <c r="AA181" s="45"/>
      <c r="AB181" s="45"/>
    </row>
    <row r="182" spans="24:28" x14ac:dyDescent="0.2">
      <c r="X182" s="45"/>
      <c r="Y182" s="45"/>
      <c r="Z182" s="45"/>
      <c r="AA182" s="45"/>
      <c r="AB182" s="45"/>
    </row>
    <row r="183" spans="24:28" x14ac:dyDescent="0.2">
      <c r="X183" s="45"/>
      <c r="Y183" s="45"/>
      <c r="Z183" s="45"/>
      <c r="AA183" s="45"/>
      <c r="AB183" s="45"/>
    </row>
    <row r="184" spans="24:28" x14ac:dyDescent="0.2">
      <c r="X184" s="45"/>
      <c r="Y184" s="45"/>
      <c r="Z184" s="45"/>
      <c r="AA184" s="45"/>
      <c r="AB184" s="45"/>
    </row>
    <row r="185" spans="24:28" x14ac:dyDescent="0.2">
      <c r="X185" s="45"/>
      <c r="Y185" s="45"/>
      <c r="Z185" s="45"/>
      <c r="AA185" s="45"/>
      <c r="AB185" s="45"/>
    </row>
    <row r="186" spans="24:28" x14ac:dyDescent="0.2">
      <c r="X186" s="45"/>
      <c r="Y186" s="45"/>
      <c r="Z186" s="45"/>
      <c r="AA186" s="45"/>
      <c r="AB186" s="45"/>
    </row>
    <row r="187" spans="24:28" x14ac:dyDescent="0.2">
      <c r="X187" s="45"/>
      <c r="Y187" s="45"/>
      <c r="Z187" s="45"/>
      <c r="AA187" s="45"/>
      <c r="AB187" s="45"/>
    </row>
    <row r="188" spans="24:28" x14ac:dyDescent="0.2">
      <c r="X188" s="45"/>
      <c r="Y188" s="45"/>
      <c r="Z188" s="45"/>
      <c r="AA188" s="45"/>
      <c r="AB188" s="45"/>
    </row>
    <row r="189" spans="24:28" x14ac:dyDescent="0.2">
      <c r="X189" s="45"/>
      <c r="Y189" s="45"/>
      <c r="Z189" s="45"/>
      <c r="AA189" s="45"/>
      <c r="AB189" s="45"/>
    </row>
    <row r="190" spans="24:28" x14ac:dyDescent="0.2">
      <c r="X190" s="45"/>
      <c r="Y190" s="45"/>
      <c r="Z190" s="45"/>
      <c r="AA190" s="45"/>
      <c r="AB190" s="45"/>
    </row>
    <row r="191" spans="24:28" x14ac:dyDescent="0.2">
      <c r="X191" s="45"/>
      <c r="Y191" s="45"/>
      <c r="Z191" s="45"/>
      <c r="AA191" s="45"/>
      <c r="AB191" s="45"/>
    </row>
    <row r="192" spans="24:28" x14ac:dyDescent="0.2">
      <c r="X192" s="45"/>
      <c r="Y192" s="45"/>
      <c r="Z192" s="45"/>
      <c r="AA192" s="45"/>
      <c r="AB192" s="45"/>
    </row>
    <row r="193" spans="24:28" x14ac:dyDescent="0.2">
      <c r="X193" s="45"/>
      <c r="Y193" s="45"/>
      <c r="Z193" s="45"/>
      <c r="AA193" s="45"/>
      <c r="AB193" s="45"/>
    </row>
    <row r="194" spans="24:28" x14ac:dyDescent="0.2">
      <c r="X194" s="45"/>
      <c r="Y194" s="45"/>
      <c r="Z194" s="45"/>
      <c r="AA194" s="45"/>
      <c r="AB194" s="45"/>
    </row>
    <row r="195" spans="24:28" x14ac:dyDescent="0.2">
      <c r="X195" s="45"/>
      <c r="Y195" s="45"/>
      <c r="Z195" s="45"/>
      <c r="AA195" s="45"/>
      <c r="AB195" s="45"/>
    </row>
    <row r="196" spans="24:28" x14ac:dyDescent="0.2">
      <c r="X196" s="45"/>
      <c r="Y196" s="45"/>
      <c r="Z196" s="45"/>
      <c r="AA196" s="45"/>
      <c r="AB196" s="45"/>
    </row>
    <row r="197" spans="24:28" x14ac:dyDescent="0.2">
      <c r="X197" s="45"/>
      <c r="Y197" s="45"/>
      <c r="Z197" s="45"/>
      <c r="AA197" s="45"/>
      <c r="AB197" s="45"/>
    </row>
    <row r="198" spans="24:28" x14ac:dyDescent="0.2">
      <c r="X198" s="45"/>
      <c r="Y198" s="45"/>
      <c r="Z198" s="45"/>
      <c r="AA198" s="45"/>
      <c r="AB198" s="45"/>
    </row>
    <row r="199" spans="24:28" x14ac:dyDescent="0.2">
      <c r="X199" s="45"/>
      <c r="Y199" s="45"/>
      <c r="Z199" s="45"/>
      <c r="AA199" s="45"/>
      <c r="AB199" s="45"/>
    </row>
    <row r="200" spans="24:28" x14ac:dyDescent="0.2">
      <c r="X200" s="45"/>
      <c r="Y200" s="45"/>
      <c r="Z200" s="45"/>
      <c r="AA200" s="45"/>
      <c r="AB200" s="45"/>
    </row>
    <row r="201" spans="24:28" x14ac:dyDescent="0.2">
      <c r="X201" s="45"/>
      <c r="Y201" s="45"/>
      <c r="Z201" s="45"/>
      <c r="AA201" s="45"/>
      <c r="AB201" s="45"/>
    </row>
    <row r="202" spans="24:28" x14ac:dyDescent="0.2">
      <c r="X202" s="45"/>
      <c r="Y202" s="45"/>
      <c r="Z202" s="45"/>
      <c r="AA202" s="45"/>
      <c r="AB202" s="45"/>
    </row>
    <row r="203" spans="24:28" x14ac:dyDescent="0.2">
      <c r="X203" s="45"/>
      <c r="Y203" s="45"/>
      <c r="Z203" s="45"/>
      <c r="AA203" s="45"/>
      <c r="AB203" s="45"/>
    </row>
    <row r="204" spans="24:28" x14ac:dyDescent="0.2">
      <c r="X204" s="45"/>
      <c r="Y204" s="45"/>
      <c r="Z204" s="45"/>
      <c r="AA204" s="45"/>
      <c r="AB204" s="45"/>
    </row>
    <row r="205" spans="24:28" x14ac:dyDescent="0.2">
      <c r="X205" s="45"/>
      <c r="Y205" s="45"/>
      <c r="Z205" s="45"/>
      <c r="AA205" s="45"/>
      <c r="AB205" s="45"/>
    </row>
  </sheetData>
  <mergeCells count="4">
    <mergeCell ref="A1:AH1"/>
    <mergeCell ref="A20:AH20"/>
    <mergeCell ref="A39:AH39"/>
    <mergeCell ref="A58:AH5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A1DC1E-88AE-479E-A044-24B06D5044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Exact</vt:lpstr>
      <vt:lpstr>Heuristic</vt:lpstr>
      <vt:lpstr>Metaheuristic</vt:lpstr>
      <vt:lpstr>Controle</vt:lpstr>
      <vt:lpstr>Resume Graph</vt:lpstr>
      <vt:lpstr>Resume Graph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Bruninm</dc:creator>
  <cp:lastModifiedBy>Bruno Luiz Rodrigues e Silva</cp:lastModifiedBy>
  <dcterms:created xsi:type="dcterms:W3CDTF">2026-03-30T20:00:03Z</dcterms:created>
  <dcterms:modified xsi:type="dcterms:W3CDTF">2026-08-06T16:02:06Z</dcterms:modified>
</cp:coreProperties>
</file>